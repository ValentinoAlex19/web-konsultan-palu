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P:\Confidential\Product Pricing\2026\Others (Adhoc)\Kalkulator Premi\AJK BPR Palu Anugerah\"/>
    </mc:Choice>
  </mc:AlternateContent>
  <xr:revisionPtr revIDLastSave="0" documentId="13_ncr:1_{2F49F5D5-059F-4D5F-8113-AB53A5D79376}" xr6:coauthVersionLast="47" xr6:coauthVersionMax="47" xr10:uidLastSave="{00000000-0000-0000-0000-000000000000}"/>
  <bookViews>
    <workbookView xWindow="-110" yWindow="-110" windowWidth="19420" windowHeight="11500" tabRatio="876" firstSheet="2" activeTab="2" xr2:uid="{00000000-000D-0000-FFFF-FFFF00000000}"/>
  </bookViews>
  <sheets>
    <sheet name="Spek Produk" sheetId="19" state="veryHidden" r:id="rId1"/>
    <sheet name="Medic" sheetId="17" state="veryHidden" r:id="rId2"/>
    <sheet name="Simulasi Premi 1 (Personal)" sheetId="14" r:id="rId3"/>
    <sheet name="Simulasi Premi 2 (Group)" sheetId="20" r:id="rId4"/>
  </sheets>
  <externalReferences>
    <externalReference r:id="rId5"/>
  </externalReferences>
  <definedNames>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(Personal)'!$B$4:$J$68</definedName>
    <definedName name="tahun" localSheetId="3">'[1]TARIP '!$K$4:$K$24</definedName>
    <definedName name="tahu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2" i="19" l="1"/>
  <c r="M8" i="19"/>
  <c r="N8" i="19"/>
  <c r="O8" i="19"/>
  <c r="P8" i="19"/>
  <c r="Q8" i="19"/>
  <c r="R8" i="19"/>
  <c r="S8" i="19"/>
  <c r="T8" i="19"/>
  <c r="M9" i="19"/>
  <c r="N9" i="19"/>
  <c r="O9" i="19"/>
  <c r="P9" i="19"/>
  <c r="Q9" i="19"/>
  <c r="R9" i="19"/>
  <c r="S9" i="19"/>
  <c r="T9" i="19"/>
  <c r="M10" i="19"/>
  <c r="N10" i="19"/>
  <c r="O10" i="19"/>
  <c r="P10" i="19"/>
  <c r="Q10" i="19"/>
  <c r="R10" i="19"/>
  <c r="S10" i="19"/>
  <c r="T10" i="19"/>
  <c r="M11" i="19"/>
  <c r="N11" i="19"/>
  <c r="O11" i="19"/>
  <c r="P11" i="19"/>
  <c r="Q11" i="19"/>
  <c r="R11" i="19"/>
  <c r="S11" i="19"/>
  <c r="T11" i="19"/>
  <c r="M12" i="19"/>
  <c r="N12" i="19"/>
  <c r="O12" i="19"/>
  <c r="P12" i="19"/>
  <c r="Q12" i="19"/>
  <c r="R12" i="19"/>
  <c r="S12" i="19"/>
  <c r="T12" i="19"/>
  <c r="M13" i="19"/>
  <c r="N13" i="19"/>
  <c r="O13" i="19"/>
  <c r="P13" i="19"/>
  <c r="Q13" i="19"/>
  <c r="R13" i="19"/>
  <c r="S13" i="19"/>
  <c r="T13" i="19"/>
  <c r="M14" i="19"/>
  <c r="N14" i="19"/>
  <c r="O14" i="19"/>
  <c r="P14" i="19"/>
  <c r="Q14" i="19"/>
  <c r="R14" i="19"/>
  <c r="S14" i="19"/>
  <c r="T14" i="19"/>
  <c r="M15" i="19"/>
  <c r="N15" i="19"/>
  <c r="O15" i="19"/>
  <c r="P15" i="19"/>
  <c r="Q15" i="19"/>
  <c r="R15" i="19"/>
  <c r="S15" i="19"/>
  <c r="T15" i="19"/>
  <c r="M16" i="19"/>
  <c r="N16" i="19"/>
  <c r="O16" i="19"/>
  <c r="P16" i="19"/>
  <c r="Q16" i="19"/>
  <c r="R16" i="19"/>
  <c r="S16" i="19"/>
  <c r="T16" i="19"/>
  <c r="M17" i="19"/>
  <c r="N17" i="19"/>
  <c r="O17" i="19"/>
  <c r="P17" i="19"/>
  <c r="Q17" i="19"/>
  <c r="R17" i="19"/>
  <c r="S17" i="19"/>
  <c r="T17" i="19"/>
  <c r="M18" i="19"/>
  <c r="N18" i="19"/>
  <c r="O18" i="19"/>
  <c r="P18" i="19"/>
  <c r="Q18" i="19"/>
  <c r="R18" i="19"/>
  <c r="S18" i="19"/>
  <c r="T18" i="19"/>
  <c r="M19" i="19"/>
  <c r="N19" i="19"/>
  <c r="O19" i="19"/>
  <c r="P19" i="19"/>
  <c r="Q19" i="19"/>
  <c r="R19" i="19"/>
  <c r="S19" i="19"/>
  <c r="T19" i="19"/>
  <c r="M20" i="19"/>
  <c r="N20" i="19"/>
  <c r="O20" i="19"/>
  <c r="P20" i="19"/>
  <c r="Q20" i="19"/>
  <c r="R20" i="19"/>
  <c r="S20" i="19"/>
  <c r="T20" i="19"/>
  <c r="M21" i="19"/>
  <c r="N21" i="19"/>
  <c r="O21" i="19"/>
  <c r="P21" i="19"/>
  <c r="Q21" i="19"/>
  <c r="R21" i="19"/>
  <c r="S21" i="19"/>
  <c r="T21" i="19"/>
  <c r="M22" i="19"/>
  <c r="N22" i="19"/>
  <c r="O22" i="19"/>
  <c r="P22" i="19"/>
  <c r="Q22" i="19"/>
  <c r="R22" i="19"/>
  <c r="S22" i="19"/>
  <c r="T22" i="19"/>
  <c r="M23" i="19"/>
  <c r="N23" i="19"/>
  <c r="O23" i="19"/>
  <c r="P23" i="19"/>
  <c r="Q23" i="19"/>
  <c r="R23" i="19"/>
  <c r="S23" i="19"/>
  <c r="T23" i="19"/>
  <c r="M24" i="19"/>
  <c r="N24" i="19"/>
  <c r="O24" i="19"/>
  <c r="P24" i="19"/>
  <c r="Q24" i="19"/>
  <c r="R24" i="19"/>
  <c r="S24" i="19"/>
  <c r="T24" i="19"/>
  <c r="M25" i="19"/>
  <c r="N25" i="19"/>
  <c r="O25" i="19"/>
  <c r="P25" i="19"/>
  <c r="Q25" i="19"/>
  <c r="R25" i="19"/>
  <c r="S25" i="19"/>
  <c r="T25" i="19"/>
  <c r="M26" i="19"/>
  <c r="N26" i="19"/>
  <c r="O26" i="19"/>
  <c r="P26" i="19"/>
  <c r="Q26" i="19"/>
  <c r="R26" i="19"/>
  <c r="S26" i="19"/>
  <c r="T26" i="19"/>
  <c r="M27" i="19"/>
  <c r="N27" i="19"/>
  <c r="O27" i="19"/>
  <c r="P27" i="19"/>
  <c r="Q27" i="19"/>
  <c r="R27" i="19"/>
  <c r="S27" i="19"/>
  <c r="T27" i="19"/>
  <c r="M28" i="19"/>
  <c r="N28" i="19"/>
  <c r="O28" i="19"/>
  <c r="P28" i="19"/>
  <c r="Q28" i="19"/>
  <c r="R28" i="19"/>
  <c r="S28" i="19"/>
  <c r="T28" i="19"/>
  <c r="M29" i="19"/>
  <c r="N29" i="19"/>
  <c r="O29" i="19"/>
  <c r="P29" i="19"/>
  <c r="Q29" i="19"/>
  <c r="R29" i="19"/>
  <c r="S29" i="19"/>
  <c r="T29" i="19"/>
  <c r="M30" i="19"/>
  <c r="N30" i="19"/>
  <c r="O30" i="19"/>
  <c r="P30" i="19"/>
  <c r="Q30" i="19"/>
  <c r="R30" i="19"/>
  <c r="S30" i="19"/>
  <c r="T30" i="19"/>
  <c r="M31" i="19"/>
  <c r="N31" i="19"/>
  <c r="O31" i="19"/>
  <c r="P31" i="19"/>
  <c r="Q31" i="19"/>
  <c r="R31" i="19"/>
  <c r="S31" i="19"/>
  <c r="T31" i="19"/>
  <c r="M32" i="19"/>
  <c r="N32" i="19"/>
  <c r="O32" i="19"/>
  <c r="P32" i="19"/>
  <c r="Q32" i="19"/>
  <c r="R32" i="19"/>
  <c r="S32" i="19"/>
  <c r="T32" i="19"/>
  <c r="M33" i="19"/>
  <c r="N33" i="19"/>
  <c r="O33" i="19"/>
  <c r="P33" i="19"/>
  <c r="Q33" i="19"/>
  <c r="R33" i="19"/>
  <c r="S33" i="19"/>
  <c r="T33" i="19"/>
  <c r="M34" i="19"/>
  <c r="N34" i="19"/>
  <c r="O34" i="19"/>
  <c r="P34" i="19"/>
  <c r="Q34" i="19"/>
  <c r="R34" i="19"/>
  <c r="S34" i="19"/>
  <c r="T34" i="19"/>
  <c r="M35" i="19"/>
  <c r="N35" i="19"/>
  <c r="O35" i="19"/>
  <c r="P35" i="19"/>
  <c r="Q35" i="19"/>
  <c r="R35" i="19"/>
  <c r="S35" i="19"/>
  <c r="T35" i="19"/>
  <c r="M36" i="19"/>
  <c r="N36" i="19"/>
  <c r="O36" i="19"/>
  <c r="P36" i="19"/>
  <c r="Q36" i="19"/>
  <c r="R36" i="19"/>
  <c r="S36" i="19"/>
  <c r="T36" i="19"/>
  <c r="M37" i="19"/>
  <c r="N37" i="19"/>
  <c r="O37" i="19"/>
  <c r="P37" i="19"/>
  <c r="Q37" i="19"/>
  <c r="R37" i="19"/>
  <c r="S37" i="19"/>
  <c r="T37" i="19"/>
  <c r="M38" i="19"/>
  <c r="N38" i="19"/>
  <c r="O38" i="19"/>
  <c r="P38" i="19"/>
  <c r="Q38" i="19"/>
  <c r="R38" i="19"/>
  <c r="S38" i="19"/>
  <c r="T38" i="19"/>
  <c r="M39" i="19"/>
  <c r="N39" i="19"/>
  <c r="O39" i="19"/>
  <c r="P39" i="19"/>
  <c r="Q39" i="19"/>
  <c r="R39" i="19"/>
  <c r="S39" i="19"/>
  <c r="T39" i="19"/>
  <c r="M40" i="19"/>
  <c r="N40" i="19"/>
  <c r="O40" i="19"/>
  <c r="P40" i="19"/>
  <c r="Q40" i="19"/>
  <c r="R40" i="19"/>
  <c r="S40" i="19"/>
  <c r="T40" i="19"/>
  <c r="M41" i="19"/>
  <c r="N41" i="19"/>
  <c r="O41" i="19"/>
  <c r="P41" i="19"/>
  <c r="Q41" i="19"/>
  <c r="R41" i="19"/>
  <c r="S41" i="19"/>
  <c r="T41" i="19"/>
  <c r="M42" i="19"/>
  <c r="N42" i="19"/>
  <c r="O42" i="19"/>
  <c r="P42" i="19"/>
  <c r="Q42" i="19"/>
  <c r="R42" i="19"/>
  <c r="S42" i="19"/>
  <c r="T42" i="19"/>
  <c r="M43" i="19"/>
  <c r="N43" i="19"/>
  <c r="O43" i="19"/>
  <c r="P43" i="19"/>
  <c r="Q43" i="19"/>
  <c r="R43" i="19"/>
  <c r="S43" i="19"/>
  <c r="T43" i="19"/>
  <c r="M44" i="19"/>
  <c r="N44" i="19"/>
  <c r="O44" i="19"/>
  <c r="P44" i="19"/>
  <c r="Q44" i="19"/>
  <c r="R44" i="19"/>
  <c r="S44" i="19"/>
  <c r="T44" i="19"/>
  <c r="M45" i="19"/>
  <c r="N45" i="19"/>
  <c r="O45" i="19"/>
  <c r="P45" i="19"/>
  <c r="Q45" i="19"/>
  <c r="R45" i="19"/>
  <c r="S45" i="19"/>
  <c r="T45" i="19"/>
  <c r="M46" i="19"/>
  <c r="N46" i="19"/>
  <c r="O46" i="19"/>
  <c r="P46" i="19"/>
  <c r="Q46" i="19"/>
  <c r="R46" i="19"/>
  <c r="S46" i="19"/>
  <c r="T46" i="19"/>
  <c r="M47" i="19"/>
  <c r="N47" i="19"/>
  <c r="O47" i="19"/>
  <c r="P47" i="19"/>
  <c r="Q47" i="19"/>
  <c r="R47" i="19"/>
  <c r="S47" i="19"/>
  <c r="T47" i="19"/>
  <c r="M48" i="19"/>
  <c r="N48" i="19"/>
  <c r="O48" i="19"/>
  <c r="P48" i="19"/>
  <c r="Q48" i="19"/>
  <c r="R48" i="19"/>
  <c r="S48" i="19"/>
  <c r="T48" i="19"/>
  <c r="H12" i="19"/>
  <c r="G35" i="19"/>
  <c r="I35" i="19"/>
  <c r="F30" i="19"/>
  <c r="F31" i="19"/>
  <c r="F33" i="19"/>
  <c r="H36" i="19"/>
  <c r="G34" i="19"/>
  <c r="I34" i="19"/>
  <c r="F6" i="19"/>
  <c r="Q11" i="20"/>
  <c r="V17" i="20" l="1"/>
  <c r="S17" i="20" s="1"/>
  <c r="V29" i="20"/>
  <c r="V30" i="20"/>
  <c r="V31" i="20"/>
  <c r="V41" i="20"/>
  <c r="V43" i="20"/>
  <c r="V34" i="20"/>
  <c r="V44" i="20"/>
  <c r="V18" i="20"/>
  <c r="V45" i="20"/>
  <c r="U45" i="20" s="1"/>
  <c r="V19" i="20"/>
  <c r="V46" i="20"/>
  <c r="T46" i="20" s="1"/>
  <c r="V13" i="20"/>
  <c r="V52" i="20"/>
  <c r="V51" i="20"/>
  <c r="V32" i="20"/>
  <c r="V16" i="20"/>
  <c r="V20" i="20"/>
  <c r="V21" i="20"/>
  <c r="V55" i="20"/>
  <c r="V28" i="20"/>
  <c r="V53" i="20"/>
  <c r="V33" i="20"/>
  <c r="V54" i="20"/>
  <c r="T54" i="20" s="1"/>
  <c r="V37" i="20"/>
  <c r="V11" i="20"/>
  <c r="V40" i="20"/>
  <c r="V22" i="20"/>
  <c r="V42" i="20"/>
  <c r="V25" i="20"/>
  <c r="V23" i="20"/>
  <c r="V35" i="20"/>
  <c r="V47" i="20"/>
  <c r="V12" i="20"/>
  <c r="V24" i="20"/>
  <c r="V36" i="20"/>
  <c r="U36" i="20" s="1"/>
  <c r="V48" i="20"/>
  <c r="V49" i="20"/>
  <c r="V14" i="20"/>
  <c r="V26" i="20"/>
  <c r="V38" i="20"/>
  <c r="V50" i="20"/>
  <c r="V15" i="20"/>
  <c r="V27" i="20"/>
  <c r="V39" i="20"/>
  <c r="T17" i="20" l="1"/>
  <c r="U17" i="20"/>
  <c r="S24" i="20"/>
  <c r="S33" i="20"/>
  <c r="U19" i="20"/>
  <c r="T12" i="20"/>
  <c r="U53" i="20"/>
  <c r="T45" i="20"/>
  <c r="U46" i="20"/>
  <c r="S36" i="20"/>
  <c r="T47" i="20"/>
  <c r="U28" i="20"/>
  <c r="T18" i="20"/>
  <c r="U27" i="20"/>
  <c r="U35" i="20"/>
  <c r="T55" i="20"/>
  <c r="U44" i="20"/>
  <c r="T13" i="20"/>
  <c r="U39" i="20"/>
  <c r="T15" i="20"/>
  <c r="T23" i="20"/>
  <c r="U21" i="20"/>
  <c r="U34" i="20"/>
  <c r="T50" i="20"/>
  <c r="S43" i="20"/>
  <c r="U37" i="20"/>
  <c r="U25" i="20"/>
  <c r="U38" i="20"/>
  <c r="S42" i="20"/>
  <c r="T16" i="20"/>
  <c r="T41" i="20"/>
  <c r="U26" i="20"/>
  <c r="S22" i="20"/>
  <c r="S32" i="20"/>
  <c r="U31" i="20"/>
  <c r="T48" i="20"/>
  <c r="T20" i="20"/>
  <c r="S46" i="20"/>
  <c r="U14" i="20"/>
  <c r="T40" i="20"/>
  <c r="S51" i="20"/>
  <c r="S30" i="20"/>
  <c r="S49" i="20"/>
  <c r="T11" i="20"/>
  <c r="U52" i="20"/>
  <c r="S29" i="20"/>
  <c r="S54" i="20"/>
  <c r="U29" i="20"/>
  <c r="T43" i="20"/>
  <c r="U43" i="20"/>
  <c r="T28" i="20"/>
  <c r="S45" i="20"/>
  <c r="T29" i="20"/>
  <c r="S31" i="20"/>
  <c r="S44" i="20"/>
  <c r="U13" i="20"/>
  <c r="T51" i="20"/>
  <c r="U30" i="20"/>
  <c r="U22" i="20"/>
  <c r="U51" i="20"/>
  <c r="U18" i="20"/>
  <c r="U41" i="20"/>
  <c r="T31" i="20"/>
  <c r="T30" i="20"/>
  <c r="S52" i="20"/>
  <c r="S34" i="20"/>
  <c r="S28" i="20"/>
  <c r="T52" i="20"/>
  <c r="T36" i="20"/>
  <c r="S13" i="20"/>
  <c r="U55" i="20"/>
  <c r="T34" i="20"/>
  <c r="T32" i="20"/>
  <c r="T42" i="20"/>
  <c r="S41" i="20"/>
  <c r="S25" i="20"/>
  <c r="S18" i="20"/>
  <c r="U32" i="20"/>
  <c r="S40" i="20"/>
  <c r="S21" i="20"/>
  <c r="T25" i="20"/>
  <c r="S19" i="20"/>
  <c r="U16" i="20"/>
  <c r="S38" i="20"/>
  <c r="T44" i="20"/>
  <c r="U20" i="20"/>
  <c r="S20" i="20"/>
  <c r="T21" i="20"/>
  <c r="U42" i="20"/>
  <c r="T38" i="20"/>
  <c r="T19" i="20"/>
  <c r="S16" i="20"/>
  <c r="S55" i="20"/>
  <c r="S37" i="20"/>
  <c r="U40" i="20"/>
  <c r="T22" i="20"/>
  <c r="S11" i="20"/>
  <c r="U11" i="20" s="1"/>
  <c r="U33" i="20"/>
  <c r="T33" i="20"/>
  <c r="U49" i="20"/>
  <c r="T53" i="20"/>
  <c r="T37" i="20"/>
  <c r="T49" i="20"/>
  <c r="U54" i="20"/>
  <c r="S53" i="20"/>
  <c r="U12" i="20"/>
  <c r="S26" i="20"/>
  <c r="S12" i="20"/>
  <c r="T26" i="20"/>
  <c r="S50" i="20"/>
  <c r="S47" i="20"/>
  <c r="U23" i="20"/>
  <c r="S15" i="20"/>
  <c r="U15" i="20"/>
  <c r="T14" i="20"/>
  <c r="U47" i="20"/>
  <c r="S23" i="20"/>
  <c r="U24" i="20"/>
  <c r="S48" i="20"/>
  <c r="T39" i="20"/>
  <c r="T27" i="20"/>
  <c r="T24" i="20"/>
  <c r="S27" i="20"/>
  <c r="S39" i="20"/>
  <c r="S35" i="20"/>
  <c r="T35" i="20"/>
  <c r="S14" i="20"/>
  <c r="U48" i="20"/>
  <c r="U50" i="20"/>
  <c r="AR43" i="19" a="1"/>
  <c r="AR42" i="19" a="1"/>
  <c r="AU39" i="19"/>
  <c r="AT40" i="19"/>
  <c r="AT39" i="19"/>
  <c r="I11" i="19"/>
  <c r="G11" i="19"/>
  <c r="I10" i="19"/>
  <c r="G10" i="19"/>
  <c r="F9" i="19"/>
  <c r="F8" i="19"/>
  <c r="F7" i="19"/>
  <c r="T7" i="17" l="1"/>
  <c r="T6" i="17"/>
  <c r="T5" i="17"/>
  <c r="T9" i="17"/>
  <c r="T8" i="17"/>
  <c r="K5" i="17"/>
  <c r="J5" i="17"/>
  <c r="L4" i="17"/>
  <c r="J6" i="17"/>
  <c r="L7" i="17"/>
  <c r="K6" i="17"/>
  <c r="K7" i="17"/>
  <c r="L6" i="17"/>
  <c r="J2" i="17"/>
  <c r="J7" i="17"/>
  <c r="K2" i="17"/>
  <c r="J8" i="17"/>
  <c r="L2" i="17"/>
  <c r="K8" i="17"/>
  <c r="J3" i="17"/>
  <c r="L8" i="17"/>
  <c r="K3" i="17"/>
  <c r="J4" i="17"/>
  <c r="K4" i="17"/>
  <c r="L5" i="17"/>
  <c r="L3" i="17"/>
  <c r="R35" i="20"/>
  <c r="R53" i="20"/>
  <c r="R12" i="20"/>
  <c r="R37" i="20"/>
  <c r="R20" i="20"/>
  <c r="R49" i="20"/>
  <c r="R48" i="20"/>
  <c r="R30" i="20"/>
  <c r="R19" i="20"/>
  <c r="R26" i="20"/>
  <c r="R43" i="20"/>
  <c r="R31" i="20"/>
  <c r="R11" i="20"/>
  <c r="R18" i="20"/>
  <c r="R50" i="20"/>
  <c r="R47" i="20"/>
  <c r="R36" i="20"/>
  <c r="R15" i="20"/>
  <c r="R39" i="20"/>
  <c r="R28" i="20"/>
  <c r="R34" i="20"/>
  <c r="R51" i="20"/>
  <c r="R32" i="20"/>
  <c r="R55" i="20"/>
  <c r="R29" i="20"/>
  <c r="R40" i="20"/>
  <c r="R24" i="20"/>
  <c r="R27" i="20"/>
  <c r="R41" i="20"/>
  <c r="R16" i="20"/>
  <c r="R44" i="20"/>
  <c r="R54" i="20"/>
  <c r="R38" i="20"/>
  <c r="R21" i="20"/>
  <c r="R22" i="20"/>
  <c r="R25" i="20"/>
  <c r="R23" i="20"/>
  <c r="F2" i="17"/>
  <c r="E2" i="17"/>
  <c r="H2" i="17"/>
  <c r="G2" i="17"/>
  <c r="D2" i="17"/>
  <c r="C2" i="17"/>
  <c r="B2" i="17"/>
  <c r="I2" i="17"/>
  <c r="R17" i="20"/>
  <c r="R13" i="20"/>
  <c r="R42" i="20"/>
  <c r="R33" i="20"/>
  <c r="R52" i="20"/>
  <c r="R14" i="20"/>
  <c r="R45" i="20"/>
  <c r="R46" i="20"/>
  <c r="I8" i="17"/>
  <c r="T4" i="20"/>
  <c r="B4" i="17"/>
  <c r="B5" i="17"/>
  <c r="C4" i="17"/>
  <c r="B6" i="17"/>
  <c r="C5" i="17"/>
  <c r="C6" i="17"/>
  <c r="B3" i="17"/>
  <c r="B7" i="17"/>
  <c r="C3" i="17"/>
  <c r="B8" i="17"/>
  <c r="C7" i="17"/>
  <c r="C8" i="17"/>
  <c r="D3" i="17"/>
  <c r="D4" i="17"/>
  <c r="D5" i="17"/>
  <c r="D6" i="17"/>
  <c r="D7" i="17"/>
  <c r="D8" i="17"/>
  <c r="E3" i="17"/>
  <c r="E4" i="17"/>
  <c r="E5" i="17"/>
  <c r="E6" i="17"/>
  <c r="E7" i="17"/>
  <c r="E8" i="17"/>
  <c r="F3" i="17"/>
  <c r="F4" i="17"/>
  <c r="F5" i="17"/>
  <c r="F6" i="17"/>
  <c r="F7" i="17"/>
  <c r="F8" i="17"/>
  <c r="G8" i="17"/>
  <c r="H3" i="17"/>
  <c r="H4" i="17"/>
  <c r="H5" i="17"/>
  <c r="H6" i="17"/>
  <c r="H7" i="17"/>
  <c r="H8" i="17"/>
  <c r="G3" i="17"/>
  <c r="G4" i="17"/>
  <c r="G5" i="17"/>
  <c r="G6" i="17"/>
  <c r="G7" i="17"/>
  <c r="I3" i="17"/>
  <c r="I4" i="17"/>
  <c r="I5" i="17"/>
  <c r="I6" i="17"/>
  <c r="I7" i="17"/>
  <c r="T4" i="17"/>
  <c r="D32" i="14"/>
  <c r="N4" i="20" l="1"/>
  <c r="M4" i="20" s="1"/>
  <c r="U4" i="20"/>
  <c r="S4" i="20"/>
  <c r="D38" i="14"/>
  <c r="D41" i="14"/>
  <c r="D14" i="14"/>
  <c r="C17" i="14"/>
  <c r="D49" i="14"/>
  <c r="D48" i="14"/>
  <c r="AP5" i="19" l="1"/>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L63"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AP47" i="19"/>
  <c r="AO47" i="19"/>
  <c r="AN47" i="19"/>
  <c r="AM47" i="19"/>
  <c r="AL47" i="19"/>
  <c r="AK47" i="19"/>
  <c r="AJ47" i="19"/>
  <c r="AI47" i="19"/>
  <c r="AH47" i="19"/>
  <c r="AG47" i="19"/>
  <c r="AF47" i="19"/>
  <c r="AE47" i="19"/>
  <c r="AD47" i="19"/>
  <c r="AC47" i="19"/>
  <c r="AB47" i="19"/>
  <c r="AA47" i="19"/>
  <c r="Z47" i="19"/>
  <c r="Y47" i="19"/>
  <c r="X47" i="19"/>
  <c r="W47" i="19"/>
  <c r="V47" i="19"/>
  <c r="U47" i="19"/>
  <c r="AP46" i="19"/>
  <c r="AO46" i="19"/>
  <c r="AN46" i="19"/>
  <c r="AM46" i="19"/>
  <c r="AL46" i="19"/>
  <c r="AK46" i="19"/>
  <c r="AJ46" i="19"/>
  <c r="AI46" i="19"/>
  <c r="AH46" i="19"/>
  <c r="AG46" i="19"/>
  <c r="AF46" i="19"/>
  <c r="AE46" i="19"/>
  <c r="AD46" i="19"/>
  <c r="AC46" i="19"/>
  <c r="AB46" i="19"/>
  <c r="AA46" i="19"/>
  <c r="Z46" i="19"/>
  <c r="Y46" i="19"/>
  <c r="X46" i="19"/>
  <c r="W46" i="19"/>
  <c r="V46" i="19"/>
  <c r="U46" i="19"/>
  <c r="AP45" i="19"/>
  <c r="AO45" i="19"/>
  <c r="AN45" i="19"/>
  <c r="AM45" i="19"/>
  <c r="AL45" i="19"/>
  <c r="AK45" i="19"/>
  <c r="AJ45" i="19"/>
  <c r="AI45" i="19"/>
  <c r="AH45" i="19"/>
  <c r="AG45" i="19"/>
  <c r="AF45" i="19"/>
  <c r="AE45" i="19"/>
  <c r="AD45" i="19"/>
  <c r="AC45" i="19"/>
  <c r="AB45" i="19"/>
  <c r="AA45" i="19"/>
  <c r="Z45" i="19"/>
  <c r="Y45" i="19"/>
  <c r="X45" i="19"/>
  <c r="W45" i="19"/>
  <c r="V45" i="19"/>
  <c r="U45" i="19"/>
  <c r="AP44" i="19"/>
  <c r="AO44" i="19"/>
  <c r="AN44" i="19"/>
  <c r="AM44" i="19"/>
  <c r="AL44" i="19"/>
  <c r="AK44" i="19"/>
  <c r="AJ44" i="19"/>
  <c r="AI44" i="19"/>
  <c r="AH44" i="19"/>
  <c r="AG44" i="19"/>
  <c r="AF44" i="19"/>
  <c r="AE44" i="19"/>
  <c r="AD44" i="19"/>
  <c r="AC44" i="19"/>
  <c r="AB44" i="19"/>
  <c r="AA44" i="19"/>
  <c r="Z44" i="19"/>
  <c r="Y44" i="19"/>
  <c r="X44" i="19"/>
  <c r="W44" i="19"/>
  <c r="V44" i="19"/>
  <c r="U44" i="19"/>
  <c r="AP43" i="19"/>
  <c r="AO43" i="19"/>
  <c r="AN43" i="19"/>
  <c r="AM43" i="19"/>
  <c r="AL43" i="19"/>
  <c r="AK43" i="19"/>
  <c r="AJ43" i="19"/>
  <c r="AI43" i="19"/>
  <c r="AH43" i="19"/>
  <c r="AG43" i="19"/>
  <c r="AF43" i="19"/>
  <c r="AE43" i="19"/>
  <c r="AD43" i="19"/>
  <c r="AC43" i="19"/>
  <c r="AB43" i="19"/>
  <c r="AA43" i="19"/>
  <c r="Z43" i="19"/>
  <c r="Y43" i="19"/>
  <c r="X43" i="19"/>
  <c r="W43" i="19"/>
  <c r="V43" i="19"/>
  <c r="U43" i="19"/>
  <c r="AP42" i="19"/>
  <c r="AO42" i="19"/>
  <c r="AN42" i="19"/>
  <c r="AM42" i="19"/>
  <c r="AL42" i="19"/>
  <c r="AK42" i="19"/>
  <c r="AJ42" i="19"/>
  <c r="AI42" i="19"/>
  <c r="AH42" i="19"/>
  <c r="AG42" i="19"/>
  <c r="AF42" i="19"/>
  <c r="AE42" i="19"/>
  <c r="AD42" i="19"/>
  <c r="AC42" i="19"/>
  <c r="AB42" i="19"/>
  <c r="AA42" i="19"/>
  <c r="Z42" i="19"/>
  <c r="Y42" i="19"/>
  <c r="X42" i="19"/>
  <c r="W42" i="19"/>
  <c r="V42" i="19"/>
  <c r="U42" i="19"/>
  <c r="AP41" i="19"/>
  <c r="AO41" i="19"/>
  <c r="AN41" i="19"/>
  <c r="AM41" i="19"/>
  <c r="AL41" i="19"/>
  <c r="AK41" i="19"/>
  <c r="AJ41" i="19"/>
  <c r="AI41" i="19"/>
  <c r="AH41" i="19"/>
  <c r="AG41" i="19"/>
  <c r="AF41" i="19"/>
  <c r="AE41" i="19"/>
  <c r="AD41" i="19"/>
  <c r="AC41" i="19"/>
  <c r="AB41" i="19"/>
  <c r="AA41" i="19"/>
  <c r="Z41" i="19"/>
  <c r="Y41" i="19"/>
  <c r="X41" i="19"/>
  <c r="W41" i="19"/>
  <c r="V41" i="19"/>
  <c r="U41" i="19"/>
  <c r="AP40" i="19"/>
  <c r="AO40" i="19"/>
  <c r="AN40" i="19"/>
  <c r="AM40" i="19"/>
  <c r="AL40" i="19"/>
  <c r="AK40" i="19"/>
  <c r="AJ40" i="19"/>
  <c r="AI40" i="19"/>
  <c r="AH40" i="19"/>
  <c r="AG40" i="19"/>
  <c r="AF40" i="19"/>
  <c r="AE40" i="19"/>
  <c r="AD40" i="19"/>
  <c r="AC40" i="19"/>
  <c r="AB40" i="19"/>
  <c r="AA40" i="19"/>
  <c r="Z40" i="19"/>
  <c r="Y40" i="19"/>
  <c r="X40" i="19"/>
  <c r="W40" i="19"/>
  <c r="V40" i="19"/>
  <c r="U40" i="19"/>
  <c r="AP39" i="19"/>
  <c r="AO39" i="19"/>
  <c r="AN39" i="19"/>
  <c r="AM39" i="19"/>
  <c r="AL39" i="19"/>
  <c r="AK39" i="19"/>
  <c r="AJ39" i="19"/>
  <c r="AI39" i="19"/>
  <c r="AH39" i="19"/>
  <c r="AG39" i="19"/>
  <c r="AF39" i="19"/>
  <c r="AE39" i="19"/>
  <c r="AD39" i="19"/>
  <c r="AC39" i="19"/>
  <c r="AB39" i="19"/>
  <c r="AA39" i="19"/>
  <c r="Z39" i="19"/>
  <c r="Y39" i="19"/>
  <c r="X39" i="19"/>
  <c r="W39" i="19"/>
  <c r="V39" i="19"/>
  <c r="U39" i="19"/>
  <c r="AP38" i="19"/>
  <c r="AO38" i="19"/>
  <c r="AN38" i="19"/>
  <c r="AM38" i="19"/>
  <c r="AL38" i="19"/>
  <c r="AK38" i="19"/>
  <c r="AJ38" i="19"/>
  <c r="AI38" i="19"/>
  <c r="AH38" i="19"/>
  <c r="AG38" i="19"/>
  <c r="AF38" i="19"/>
  <c r="AE38" i="19"/>
  <c r="AD38" i="19"/>
  <c r="AC38" i="19"/>
  <c r="AB38" i="19"/>
  <c r="AA38" i="19"/>
  <c r="Z38" i="19"/>
  <c r="Y38" i="19"/>
  <c r="X38" i="19"/>
  <c r="W38" i="19"/>
  <c r="V38" i="19"/>
  <c r="U38" i="19"/>
  <c r="AP37" i="19"/>
  <c r="AO37" i="19"/>
  <c r="AN37" i="19"/>
  <c r="AM37" i="19"/>
  <c r="AL37" i="19"/>
  <c r="AK37" i="19"/>
  <c r="AJ37" i="19"/>
  <c r="AI37" i="19"/>
  <c r="AH37" i="19"/>
  <c r="AG37" i="19"/>
  <c r="AF37" i="19"/>
  <c r="AE37" i="19"/>
  <c r="AD37" i="19"/>
  <c r="AC37" i="19"/>
  <c r="AB37" i="19"/>
  <c r="AA37" i="19"/>
  <c r="Z37" i="19"/>
  <c r="Y37" i="19"/>
  <c r="X37" i="19"/>
  <c r="W37" i="19"/>
  <c r="V37" i="19"/>
  <c r="U37" i="19"/>
  <c r="AP36" i="19"/>
  <c r="AO36" i="19"/>
  <c r="AN36" i="19"/>
  <c r="AM36" i="19"/>
  <c r="AL36" i="19"/>
  <c r="AK36" i="19"/>
  <c r="AJ36" i="19"/>
  <c r="AI36" i="19"/>
  <c r="AH36" i="19"/>
  <c r="AG36" i="19"/>
  <c r="AF36" i="19"/>
  <c r="AE36" i="19"/>
  <c r="AD36" i="19"/>
  <c r="AC36" i="19"/>
  <c r="AB36" i="19"/>
  <c r="AA36" i="19"/>
  <c r="Z36" i="19"/>
  <c r="Y36" i="19"/>
  <c r="X36" i="19"/>
  <c r="W36" i="19"/>
  <c r="V36" i="19"/>
  <c r="U36" i="19"/>
  <c r="AP35" i="19"/>
  <c r="AO35" i="19"/>
  <c r="AN35" i="19"/>
  <c r="AM35" i="19"/>
  <c r="AL35" i="19"/>
  <c r="AK35" i="19"/>
  <c r="AJ35" i="19"/>
  <c r="AI35" i="19"/>
  <c r="AH35" i="19"/>
  <c r="AG35" i="19"/>
  <c r="AF35" i="19"/>
  <c r="AE35" i="19"/>
  <c r="AD35" i="19"/>
  <c r="AC35" i="19"/>
  <c r="AB35" i="19"/>
  <c r="AA35" i="19"/>
  <c r="Z35" i="19"/>
  <c r="Y35" i="19"/>
  <c r="X35" i="19"/>
  <c r="W35" i="19"/>
  <c r="V35" i="19"/>
  <c r="U35" i="19"/>
  <c r="AP34" i="19"/>
  <c r="AO34" i="19"/>
  <c r="AN34" i="19"/>
  <c r="AM34" i="19"/>
  <c r="AL34" i="19"/>
  <c r="AK34" i="19"/>
  <c r="AJ34" i="19"/>
  <c r="AI34" i="19"/>
  <c r="AH34" i="19"/>
  <c r="AG34" i="19"/>
  <c r="AF34" i="19"/>
  <c r="AE34" i="19"/>
  <c r="AD34" i="19"/>
  <c r="AC34" i="19"/>
  <c r="AB34" i="19"/>
  <c r="AA34" i="19"/>
  <c r="Z34" i="19"/>
  <c r="Y34" i="19"/>
  <c r="X34" i="19"/>
  <c r="W34" i="19"/>
  <c r="V34" i="19"/>
  <c r="U34" i="19"/>
  <c r="AP33" i="19"/>
  <c r="AO33" i="19"/>
  <c r="AN33" i="19"/>
  <c r="AM33" i="19"/>
  <c r="AL33" i="19"/>
  <c r="AK33" i="19"/>
  <c r="AJ33" i="19"/>
  <c r="AI33" i="19"/>
  <c r="AH33" i="19"/>
  <c r="AG33" i="19"/>
  <c r="AF33" i="19"/>
  <c r="AE33" i="19"/>
  <c r="AD33" i="19"/>
  <c r="AC33" i="19"/>
  <c r="AB33" i="19"/>
  <c r="AA33" i="19"/>
  <c r="Z33" i="19"/>
  <c r="Y33" i="19"/>
  <c r="X33" i="19"/>
  <c r="W33" i="19"/>
  <c r="V33" i="19"/>
  <c r="U33" i="19"/>
  <c r="AP32" i="19"/>
  <c r="AO32" i="19"/>
  <c r="AN32" i="19"/>
  <c r="AM32" i="19"/>
  <c r="AL32" i="19"/>
  <c r="AK32" i="19"/>
  <c r="AJ32" i="19"/>
  <c r="AI32" i="19"/>
  <c r="AH32" i="19"/>
  <c r="AG32" i="19"/>
  <c r="AF32" i="19"/>
  <c r="AE32" i="19"/>
  <c r="AD32" i="19"/>
  <c r="AC32" i="19"/>
  <c r="AB32" i="19"/>
  <c r="AA32" i="19"/>
  <c r="Z32" i="19"/>
  <c r="Y32" i="19"/>
  <c r="X32" i="19"/>
  <c r="W32" i="19"/>
  <c r="V32" i="19"/>
  <c r="U32" i="19"/>
  <c r="AP31" i="19"/>
  <c r="AO31" i="19"/>
  <c r="AN31" i="19"/>
  <c r="AM31" i="19"/>
  <c r="AL31" i="19"/>
  <c r="AK31" i="19"/>
  <c r="AJ31" i="19"/>
  <c r="AI31" i="19"/>
  <c r="AH31" i="19"/>
  <c r="AG31" i="19"/>
  <c r="AF31" i="19"/>
  <c r="AE31" i="19"/>
  <c r="AD31" i="19"/>
  <c r="AC31" i="19"/>
  <c r="AB31" i="19"/>
  <c r="AA31" i="19"/>
  <c r="Z31" i="19"/>
  <c r="Y31" i="19"/>
  <c r="X31" i="19"/>
  <c r="W31" i="19"/>
  <c r="V31" i="19"/>
  <c r="U31" i="19"/>
  <c r="AP30" i="19"/>
  <c r="AO30" i="19"/>
  <c r="AN30" i="19"/>
  <c r="AM30" i="19"/>
  <c r="AL30" i="19"/>
  <c r="AK30" i="19"/>
  <c r="AJ30" i="19"/>
  <c r="AI30" i="19"/>
  <c r="AH30" i="19"/>
  <c r="AG30" i="19"/>
  <c r="AF30" i="19"/>
  <c r="AE30" i="19"/>
  <c r="AD30" i="19"/>
  <c r="AC30" i="19"/>
  <c r="AB30" i="19"/>
  <c r="AA30" i="19"/>
  <c r="Z30" i="19"/>
  <c r="Y30" i="19"/>
  <c r="X30" i="19"/>
  <c r="W30" i="19"/>
  <c r="V30" i="19"/>
  <c r="U30" i="19"/>
  <c r="AP29" i="19"/>
  <c r="AO29" i="19"/>
  <c r="AN29" i="19"/>
  <c r="AM29" i="19"/>
  <c r="AL29" i="19"/>
  <c r="AK29" i="19"/>
  <c r="AJ29" i="19"/>
  <c r="AI29" i="19"/>
  <c r="AH29" i="19"/>
  <c r="AG29" i="19"/>
  <c r="AF29" i="19"/>
  <c r="AE29" i="19"/>
  <c r="AD29" i="19"/>
  <c r="AC29" i="19"/>
  <c r="AB29" i="19"/>
  <c r="AA29" i="19"/>
  <c r="Z29" i="19"/>
  <c r="Y29" i="19"/>
  <c r="X29" i="19"/>
  <c r="W29" i="19"/>
  <c r="V29" i="19"/>
  <c r="U29" i="19"/>
  <c r="AP28" i="19"/>
  <c r="AO28" i="19"/>
  <c r="AN28" i="19"/>
  <c r="AM28" i="19"/>
  <c r="AL28" i="19"/>
  <c r="AK28" i="19"/>
  <c r="AJ28" i="19"/>
  <c r="AI28" i="19"/>
  <c r="AH28" i="19"/>
  <c r="AG28" i="19"/>
  <c r="AF28" i="19"/>
  <c r="AE28" i="19"/>
  <c r="AD28" i="19"/>
  <c r="AC28" i="19"/>
  <c r="AB28" i="19"/>
  <c r="AA28" i="19"/>
  <c r="Z28" i="19"/>
  <c r="Y28" i="19"/>
  <c r="X28" i="19"/>
  <c r="W28" i="19"/>
  <c r="V28" i="19"/>
  <c r="U28" i="19"/>
  <c r="AP27" i="19"/>
  <c r="AO27" i="19"/>
  <c r="AN27" i="19"/>
  <c r="AM27" i="19"/>
  <c r="AL27" i="19"/>
  <c r="AK27" i="19"/>
  <c r="AJ27" i="19"/>
  <c r="AI27" i="19"/>
  <c r="AH27" i="19"/>
  <c r="AG27" i="19"/>
  <c r="AF27" i="19"/>
  <c r="AE27" i="19"/>
  <c r="AD27" i="19"/>
  <c r="AC27" i="19"/>
  <c r="AB27" i="19"/>
  <c r="AA27" i="19"/>
  <c r="Z27" i="19"/>
  <c r="Y27" i="19"/>
  <c r="X27" i="19"/>
  <c r="W27" i="19"/>
  <c r="V27" i="19"/>
  <c r="U27" i="19"/>
  <c r="AP26" i="19"/>
  <c r="AO26" i="19"/>
  <c r="AN26" i="19"/>
  <c r="AM26" i="19"/>
  <c r="AL26" i="19"/>
  <c r="AK26" i="19"/>
  <c r="AJ26" i="19"/>
  <c r="AI26" i="19"/>
  <c r="AH26" i="19"/>
  <c r="AG26" i="19"/>
  <c r="AF26" i="19"/>
  <c r="AE26" i="19"/>
  <c r="AD26" i="19"/>
  <c r="AC26" i="19"/>
  <c r="AB26" i="19"/>
  <c r="AA26" i="19"/>
  <c r="Z26" i="19"/>
  <c r="Y26" i="19"/>
  <c r="X26" i="19"/>
  <c r="W26" i="19"/>
  <c r="V26" i="19"/>
  <c r="U26" i="19"/>
  <c r="AP25" i="19"/>
  <c r="AO25" i="19"/>
  <c r="AN25" i="19"/>
  <c r="AM25" i="19"/>
  <c r="AL25" i="19"/>
  <c r="AK25" i="19"/>
  <c r="AJ25" i="19"/>
  <c r="AI25" i="19"/>
  <c r="AH25" i="19"/>
  <c r="AG25" i="19"/>
  <c r="AF25" i="19"/>
  <c r="AE25" i="19"/>
  <c r="AD25" i="19"/>
  <c r="AC25" i="19"/>
  <c r="AB25" i="19"/>
  <c r="AA25" i="19"/>
  <c r="Z25" i="19"/>
  <c r="Y25" i="19"/>
  <c r="X25" i="19"/>
  <c r="W25" i="19"/>
  <c r="V25" i="19"/>
  <c r="U25" i="19"/>
  <c r="AP24" i="19"/>
  <c r="AO24" i="19"/>
  <c r="AN24" i="19"/>
  <c r="AM24" i="19"/>
  <c r="AL24" i="19"/>
  <c r="AK24" i="19"/>
  <c r="AJ24" i="19"/>
  <c r="AI24" i="19"/>
  <c r="AH24" i="19"/>
  <c r="AG24" i="19"/>
  <c r="AF24" i="19"/>
  <c r="AE24" i="19"/>
  <c r="AD24" i="19"/>
  <c r="AC24" i="19"/>
  <c r="AB24" i="19"/>
  <c r="AA24" i="19"/>
  <c r="Z24" i="19"/>
  <c r="Y24" i="19"/>
  <c r="X24" i="19"/>
  <c r="W24" i="19"/>
  <c r="V24" i="19"/>
  <c r="U24" i="19"/>
  <c r="AP23" i="19"/>
  <c r="AO23" i="19"/>
  <c r="AN23" i="19"/>
  <c r="AM23" i="19"/>
  <c r="AL23" i="19"/>
  <c r="AK23" i="19"/>
  <c r="AJ23" i="19"/>
  <c r="AI23" i="19"/>
  <c r="AH23" i="19"/>
  <c r="AG23" i="19"/>
  <c r="AF23" i="19"/>
  <c r="AE23" i="19"/>
  <c r="AD23" i="19"/>
  <c r="AC23" i="19"/>
  <c r="AB23" i="19"/>
  <c r="AA23" i="19"/>
  <c r="Z23" i="19"/>
  <c r="Y23" i="19"/>
  <c r="X23" i="19"/>
  <c r="W23" i="19"/>
  <c r="V23" i="19"/>
  <c r="U23" i="19"/>
  <c r="AP22" i="19"/>
  <c r="AO22" i="19"/>
  <c r="AN22" i="19"/>
  <c r="AM22" i="19"/>
  <c r="AL22" i="19"/>
  <c r="AK22" i="19"/>
  <c r="AJ22" i="19"/>
  <c r="AI22" i="19"/>
  <c r="AH22" i="19"/>
  <c r="AG22" i="19"/>
  <c r="AF22" i="19"/>
  <c r="AE22" i="19"/>
  <c r="AD22" i="19"/>
  <c r="AC22" i="19"/>
  <c r="AB22" i="19"/>
  <c r="AA22" i="19"/>
  <c r="Z22" i="19"/>
  <c r="Y22" i="19"/>
  <c r="X22" i="19"/>
  <c r="W22" i="19"/>
  <c r="V22" i="19"/>
  <c r="U22" i="19"/>
  <c r="AP21" i="19"/>
  <c r="AO21" i="19"/>
  <c r="AN21" i="19"/>
  <c r="AM21" i="19"/>
  <c r="AL21" i="19"/>
  <c r="AK21" i="19"/>
  <c r="AJ21" i="19"/>
  <c r="AI21" i="19"/>
  <c r="AH21" i="19"/>
  <c r="AG21" i="19"/>
  <c r="AF21" i="19"/>
  <c r="AE21" i="19"/>
  <c r="AD21" i="19"/>
  <c r="AC21" i="19"/>
  <c r="AB21" i="19"/>
  <c r="AA21" i="19"/>
  <c r="Z21" i="19"/>
  <c r="Y21" i="19"/>
  <c r="X21" i="19"/>
  <c r="W21" i="19"/>
  <c r="V21" i="19"/>
  <c r="U21" i="19"/>
  <c r="AP20" i="19"/>
  <c r="AO20" i="19"/>
  <c r="AN20" i="19"/>
  <c r="AM20" i="19"/>
  <c r="AL20" i="19"/>
  <c r="AK20" i="19"/>
  <c r="AJ20" i="19"/>
  <c r="AI20" i="19"/>
  <c r="AH20" i="19"/>
  <c r="AG20" i="19"/>
  <c r="AF20" i="19"/>
  <c r="AE20" i="19"/>
  <c r="AD20" i="19"/>
  <c r="AC20" i="19"/>
  <c r="AB20" i="19"/>
  <c r="AA20" i="19"/>
  <c r="Z20" i="19"/>
  <c r="Y20" i="19"/>
  <c r="X20" i="19"/>
  <c r="W20" i="19"/>
  <c r="V20" i="19"/>
  <c r="U20" i="19"/>
  <c r="AP19" i="19"/>
  <c r="AO19" i="19"/>
  <c r="AN19" i="19"/>
  <c r="AM19" i="19"/>
  <c r="AL19" i="19"/>
  <c r="AK19" i="19"/>
  <c r="AJ19" i="19"/>
  <c r="AI19" i="19"/>
  <c r="AH19" i="19"/>
  <c r="AG19" i="19"/>
  <c r="AF19" i="19"/>
  <c r="AE19" i="19"/>
  <c r="AD19" i="19"/>
  <c r="AC19" i="19"/>
  <c r="AB19" i="19"/>
  <c r="AA19" i="19"/>
  <c r="Z19" i="19"/>
  <c r="Y19" i="19"/>
  <c r="X19" i="19"/>
  <c r="W19" i="19"/>
  <c r="V19" i="19"/>
  <c r="U19" i="19"/>
  <c r="AP18" i="19"/>
  <c r="AO18" i="19"/>
  <c r="AN18" i="19"/>
  <c r="AM18" i="19"/>
  <c r="AL18" i="19"/>
  <c r="AK18" i="19"/>
  <c r="AJ18" i="19"/>
  <c r="AI18" i="19"/>
  <c r="AH18" i="19"/>
  <c r="AG18" i="19"/>
  <c r="AF18" i="19"/>
  <c r="AE18" i="19"/>
  <c r="AD18" i="19"/>
  <c r="AC18" i="19"/>
  <c r="AB18" i="19"/>
  <c r="AA18" i="19"/>
  <c r="Z18" i="19"/>
  <c r="Y18" i="19"/>
  <c r="X18" i="19"/>
  <c r="W18" i="19"/>
  <c r="V18" i="19"/>
  <c r="U18" i="19"/>
  <c r="AP17" i="19"/>
  <c r="AO17" i="19"/>
  <c r="AN17" i="19"/>
  <c r="AM17" i="19"/>
  <c r="AL17" i="19"/>
  <c r="AK17" i="19"/>
  <c r="AJ17" i="19"/>
  <c r="AI17" i="19"/>
  <c r="AH17" i="19"/>
  <c r="AG17" i="19"/>
  <c r="AF17" i="19"/>
  <c r="AE17" i="19"/>
  <c r="AD17" i="19"/>
  <c r="AC17" i="19"/>
  <c r="AB17" i="19"/>
  <c r="AA17" i="19"/>
  <c r="Z17" i="19"/>
  <c r="Y17" i="19"/>
  <c r="X17" i="19"/>
  <c r="W17" i="19"/>
  <c r="V17" i="19"/>
  <c r="U17" i="19"/>
  <c r="AP16" i="19"/>
  <c r="AO16" i="19"/>
  <c r="AN16" i="19"/>
  <c r="AM16" i="19"/>
  <c r="AL16" i="19"/>
  <c r="AK16" i="19"/>
  <c r="AJ16" i="19"/>
  <c r="AI16" i="19"/>
  <c r="AH16" i="19"/>
  <c r="AG16" i="19"/>
  <c r="AF16" i="19"/>
  <c r="AE16" i="19"/>
  <c r="AD16" i="19"/>
  <c r="AC16" i="19"/>
  <c r="AB16" i="19"/>
  <c r="AA16" i="19"/>
  <c r="Z16" i="19"/>
  <c r="Y16" i="19"/>
  <c r="X16" i="19"/>
  <c r="W16" i="19"/>
  <c r="V16" i="19"/>
  <c r="U16" i="19"/>
  <c r="AP15" i="19"/>
  <c r="AO15" i="19"/>
  <c r="AN15" i="19"/>
  <c r="AM15" i="19"/>
  <c r="AL15" i="19"/>
  <c r="AK15" i="19"/>
  <c r="AJ15" i="19"/>
  <c r="AI15" i="19"/>
  <c r="AH15" i="19"/>
  <c r="AG15" i="19"/>
  <c r="AF15" i="19"/>
  <c r="AE15" i="19"/>
  <c r="AD15" i="19"/>
  <c r="AC15" i="19"/>
  <c r="AB15" i="19"/>
  <c r="AA15" i="19"/>
  <c r="Z15" i="19"/>
  <c r="Y15" i="19"/>
  <c r="X15" i="19"/>
  <c r="W15" i="19"/>
  <c r="V15" i="19"/>
  <c r="U15" i="19"/>
  <c r="AP14" i="19"/>
  <c r="AO14" i="19"/>
  <c r="AN14" i="19"/>
  <c r="AM14" i="19"/>
  <c r="AL14" i="19"/>
  <c r="AK14" i="19"/>
  <c r="AJ14" i="19"/>
  <c r="AI14" i="19"/>
  <c r="AH14" i="19"/>
  <c r="AG14" i="19"/>
  <c r="AF14" i="19"/>
  <c r="AE14" i="19"/>
  <c r="AD14" i="19"/>
  <c r="AC14" i="19"/>
  <c r="AB14" i="19"/>
  <c r="AA14" i="19"/>
  <c r="Z14" i="19"/>
  <c r="Y14" i="19"/>
  <c r="X14" i="19"/>
  <c r="W14" i="19"/>
  <c r="V14" i="19"/>
  <c r="U14" i="19"/>
  <c r="AP13" i="19"/>
  <c r="AO13" i="19"/>
  <c r="AN13" i="19"/>
  <c r="AM13" i="19"/>
  <c r="AL13" i="19"/>
  <c r="AK13" i="19"/>
  <c r="AJ13" i="19"/>
  <c r="AI13" i="19"/>
  <c r="AH13" i="19"/>
  <c r="AG13" i="19"/>
  <c r="AF13" i="19"/>
  <c r="AE13" i="19"/>
  <c r="AD13" i="19"/>
  <c r="AC13" i="19"/>
  <c r="AB13" i="19"/>
  <c r="AA13" i="19"/>
  <c r="Z13" i="19"/>
  <c r="Y13" i="19"/>
  <c r="X13" i="19"/>
  <c r="W13" i="19"/>
  <c r="V13" i="19"/>
  <c r="U13" i="19"/>
  <c r="AP12" i="19"/>
  <c r="AO12" i="19"/>
  <c r="AN12" i="19"/>
  <c r="AM12" i="19"/>
  <c r="AL12" i="19"/>
  <c r="AK12" i="19"/>
  <c r="AJ12" i="19"/>
  <c r="AI12" i="19"/>
  <c r="AH12" i="19"/>
  <c r="AG12" i="19"/>
  <c r="AF12" i="19"/>
  <c r="AE12" i="19"/>
  <c r="AD12" i="19"/>
  <c r="AC12" i="19"/>
  <c r="AB12" i="19"/>
  <c r="AA12" i="19"/>
  <c r="Z12" i="19"/>
  <c r="Y12" i="19"/>
  <c r="X12" i="19"/>
  <c r="W12" i="19"/>
  <c r="V12" i="19"/>
  <c r="U12" i="19"/>
  <c r="AP11" i="19"/>
  <c r="AO11" i="19"/>
  <c r="AN11" i="19"/>
  <c r="AM11" i="19"/>
  <c r="AL11" i="19"/>
  <c r="AK11" i="19"/>
  <c r="AJ11" i="19"/>
  <c r="AI11" i="19"/>
  <c r="AH11" i="19"/>
  <c r="AG11" i="19"/>
  <c r="AF11" i="19"/>
  <c r="AE11" i="19"/>
  <c r="AD11" i="19"/>
  <c r="AC11" i="19"/>
  <c r="AB11" i="19"/>
  <c r="AA11" i="19"/>
  <c r="Z11" i="19"/>
  <c r="Y11" i="19"/>
  <c r="X11" i="19"/>
  <c r="W11" i="19"/>
  <c r="V11" i="19"/>
  <c r="U11" i="19"/>
  <c r="AP10" i="19"/>
  <c r="AO10" i="19"/>
  <c r="AN10" i="19"/>
  <c r="AM10" i="19"/>
  <c r="AL10" i="19"/>
  <c r="AK10" i="19"/>
  <c r="AJ10" i="19"/>
  <c r="AI10" i="19"/>
  <c r="AH10" i="19"/>
  <c r="AG10" i="19"/>
  <c r="AF10" i="19"/>
  <c r="AE10" i="19"/>
  <c r="AD10" i="19"/>
  <c r="AC10" i="19"/>
  <c r="AB10" i="19"/>
  <c r="AA10" i="19"/>
  <c r="Z10" i="19"/>
  <c r="Y10" i="19"/>
  <c r="X10" i="19"/>
  <c r="W10" i="19"/>
  <c r="V10" i="19"/>
  <c r="U10" i="19"/>
  <c r="AP9" i="19"/>
  <c r="AO9" i="19"/>
  <c r="AN9" i="19"/>
  <c r="AM9" i="19"/>
  <c r="AL9" i="19"/>
  <c r="AK9" i="19"/>
  <c r="AJ9" i="19"/>
  <c r="AI9" i="19"/>
  <c r="AH9" i="19"/>
  <c r="AG9" i="19"/>
  <c r="AF9" i="19"/>
  <c r="AE9" i="19"/>
  <c r="AD9" i="19"/>
  <c r="AC9" i="19"/>
  <c r="AB9" i="19"/>
  <c r="AA9" i="19"/>
  <c r="Z9" i="19"/>
  <c r="Y9" i="19"/>
  <c r="X9" i="19"/>
  <c r="W9" i="19"/>
  <c r="V9" i="19"/>
  <c r="U9" i="19"/>
  <c r="AP8" i="19"/>
  <c r="AO8" i="19"/>
  <c r="AN8" i="19"/>
  <c r="AM8" i="19"/>
  <c r="AL8" i="19"/>
  <c r="AK8" i="19"/>
  <c r="AJ8" i="19"/>
  <c r="AI8" i="19"/>
  <c r="AH8" i="19"/>
  <c r="AG8" i="19"/>
  <c r="AF8" i="19"/>
  <c r="AE8" i="19"/>
  <c r="AD8" i="19"/>
  <c r="AC8" i="19"/>
  <c r="AB8" i="19"/>
  <c r="AA8" i="19"/>
  <c r="Z8" i="19"/>
  <c r="Y8" i="19"/>
  <c r="X8" i="19"/>
  <c r="W8" i="19"/>
  <c r="V8" i="19"/>
  <c r="U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16" i="19"/>
  <c r="L115" i="19"/>
  <c r="L114" i="19"/>
  <c r="L113" i="19"/>
  <c r="L112" i="19"/>
  <c r="L111" i="19"/>
  <c r="L110" i="19"/>
  <c r="L109" i="19"/>
  <c r="L108" i="19"/>
  <c r="L107"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Q6" i="20"/>
  <c r="V6" i="20" s="1"/>
  <c r="G29" i="14"/>
  <c r="E49" i="14" s="1"/>
  <c r="A1" i="20"/>
  <c r="T6" i="20" l="1"/>
  <c r="R6" i="20"/>
  <c r="S6" i="20"/>
  <c r="U6" i="20" s="1"/>
  <c r="E48" i="14"/>
  <c r="E51" i="14" s="1"/>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0" i="20"/>
  <c r="V10" i="20" s="1"/>
  <c r="R10" i="20" s="1"/>
  <c r="Q9" i="20"/>
  <c r="V9" i="20" s="1"/>
  <c r="R9" i="20" s="1"/>
  <c r="Q8" i="20"/>
  <c r="V8" i="20" s="1"/>
  <c r="S8" i="20" s="1"/>
  <c r="Q7" i="20"/>
  <c r="V7" i="20" s="1"/>
  <c r="S7" i="20" s="1"/>
  <c r="N56"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T7" i="20" l="1"/>
  <c r="U7" i="20" s="1"/>
  <c r="R7" i="20"/>
  <c r="T8" i="20"/>
  <c r="U8" i="20" s="1"/>
  <c r="R8" i="20"/>
  <c r="T9" i="20"/>
  <c r="S9" i="20"/>
  <c r="S10" i="20"/>
  <c r="T10" i="20"/>
  <c r="P2" i="20"/>
  <c r="C11" i="14"/>
  <c r="C61" i="14"/>
  <c r="H35" i="14"/>
  <c r="U9" i="20" l="1"/>
  <c r="S56" i="20"/>
  <c r="T56" i="20"/>
  <c r="U10" i="20"/>
  <c r="AR5" i="19"/>
  <c r="AR6" i="19" s="1"/>
  <c r="AR7" i="19" s="1"/>
  <c r="AR8" i="19" s="1"/>
  <c r="AR9" i="19" s="1"/>
  <c r="AR10" i="19" s="1"/>
  <c r="AR11" i="19" s="1"/>
  <c r="AR12" i="19" s="1"/>
  <c r="AR13" i="19" s="1"/>
  <c r="AR14" i="19" s="1"/>
  <c r="AR15" i="19" s="1"/>
  <c r="U56" i="20" l="1"/>
  <c r="H41" i="14"/>
  <c r="H29" i="14"/>
  <c r="D54" i="14" s="1"/>
  <c r="C55" i="14" l="1"/>
  <c r="D64"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<sst xmlns="http://schemas.openxmlformats.org/spreadsheetml/2006/main" count="326" uniqueCount="112">
  <si>
    <t>Bulan</t>
  </si>
  <si>
    <t>Tahun</t>
  </si>
  <si>
    <t>Admin</t>
  </si>
  <si>
    <t>Rate EM</t>
  </si>
  <si>
    <t>‰</t>
  </si>
  <si>
    <t>Total Pembayaran</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</si>
  <si>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</si>
  <si>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</si>
  <si>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</si>
  <si>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</si>
  <si>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</si>
  <si>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</si>
  <si>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</si>
  <si>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</si>
  <si>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</si>
  <si>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</si>
  <si>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</si>
  <si>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t>
  </si>
  <si>
    <t>D</t>
  </si>
  <si>
    <t>C</t>
  </si>
  <si>
    <t>B</t>
  </si>
  <si>
    <t>NM</t>
  </si>
  <si>
    <t>A</t>
  </si>
  <si>
    <t>AA</t>
  </si>
  <si>
    <t>:</t>
  </si>
  <si>
    <t>Penjelasan</t>
  </si>
  <si>
    <t>PT ASURANSI SIMAS JIWA</t>
  </si>
  <si>
    <t>Tanggal Lahir*</t>
  </si>
  <si>
    <t>Masa Asuransi*</t>
  </si>
  <si>
    <t>*Mandatory</t>
  </si>
  <si>
    <t>Budi Sasongko</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</si>
  <si>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</si>
  <si>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</si>
  <si>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</si>
  <si>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</si>
  <si>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</si>
  <si>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</si>
  <si>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</si>
  <si>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</si>
  <si>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</si>
  <si>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</si>
  <si>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</si>
  <si>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</si>
  <si>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</si>
  <si>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</si>
  <si>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</si>
  <si>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</si>
  <si>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</si>
  <si>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</si>
  <si>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</si>
  <si>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</si>
  <si>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</si>
  <si>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</si>
  <si>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</si>
  <si>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</si>
  <si>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</si>
  <si>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</si>
  <si>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</si>
  <si>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</si>
  <si>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</si>
  <si>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</si>
  <si>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</si>
  <si>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</si>
  <si>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</si>
  <si>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</si>
  <si>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</si>
  <si>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</si>
  <si>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</si>
  <si>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Rate EM (‰)</t>
  </si>
  <si>
    <t>Keterangan Medis</t>
  </si>
  <si>
    <t xml:space="preserve">Karyawan Swasta </t>
  </si>
  <si>
    <t>Jakarta</t>
  </si>
  <si>
    <t>Tertanggung</t>
  </si>
  <si>
    <t>Perempuan</t>
  </si>
  <si>
    <t>Bandung</t>
  </si>
  <si>
    <t>Semarang</t>
  </si>
  <si>
    <t>Samarinda</t>
  </si>
  <si>
    <t>Yogyakarta</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</si>
  <si>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</si>
  <si>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</si>
  <si>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</si>
  <si>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</si>
  <si>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</si>
  <si>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</si>
  <si>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</si>
  <si>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</si>
  <si>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</si>
  <si>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</si>
  <si>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</si>
  <si>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</si>
  <si>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</si>
  <si>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</si>
  <si>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</si>
  <si>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Menurun</t>
  </si>
  <si>
    <t>Dec</t>
  </si>
  <si>
    <t>Flat</t>
  </si>
  <si>
    <t>UP Indicator</t>
  </si>
  <si>
    <t>Konvensional</t>
  </si>
  <si>
    <t>Use</t>
  </si>
  <si>
    <t>AAA</t>
  </si>
  <si>
    <t>BBB</t>
  </si>
  <si>
    <t>CCC</t>
  </si>
  <si>
    <t>DDD</t>
  </si>
  <si>
    <t>EEE</t>
  </si>
  <si>
    <t>1234567891011121</t>
  </si>
  <si>
    <t>1234567891011122</t>
  </si>
  <si>
    <t>1234567891011123</t>
  </si>
  <si>
    <t>1234567891011124</t>
  </si>
  <si>
    <t>1234567891011125</t>
  </si>
  <si>
    <t>BPR Palu Anugerah</t>
  </si>
  <si>
    <t>Usia
(Nearest Birthday)</t>
  </si>
  <si>
    <t>Nama Peserta /  Debitur (Sesuai KTP)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</si>
</sst>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409]dd\-mmm\-yyyy;@"/>
    <numFmt numFmtId="165" formatCode="_([$IDR]\ * #,##0_);_([$IDR]\ * \(#,##0\);_([$IDR]\ * &quot;-&quot;_);_(@_)"/>
    <numFmt numFmtId="166" formatCode="_(* #,##0_);_(* \(#,##0\);_(* &quot;-&quot;??_);_(@_)"/>
    <numFmt numFmtId="167" formatCode="[$-409]d\-mmm\-yyyy;@"/>
    <numFmt numFmtId="168" formatCode="_([$IDR]\ * #,##0_);_([$IDR]\ * \(#,##0\);_([$IDR]\ * 0_);_(@_)"/>
    <numFmt numFmtId="169" formatCode="_([$IDR]\ * #,##0.00_);_([$IDR]\ * \(#,##0.00\);_([$IDR]\ * &quot;-&quot;??_);_(@_)"/>
    <numFmt numFmtId="170" formatCode="_-[$IDR]\ * #,##0.00_-;\-[$IDR]\ * #,##0.00_-;_-[$IDR]\ * &quot;-&quot;??_-;_-@_-"/>
    <numFmt numFmtId="171" formatCode="&quot;£&quot;#,##0;\-&quot;£&quot;#,##0"/>
    <numFmt numFmtId="172" formatCode="_([$IDR]\ * #,##0_);_([$IDR]\ * \(#,##0\);_([$IDR]\ * &quot;-&quot;??_);_(@_)"/>
    <numFmt numFmtId="173" formatCode="[$IDR]\ #,##0_);\([$IDR]\ #,##0\)"/>
    <numFmt numFmtId="174" formatCode="_(* #,##0.000_);_(* \(#,##0.000\);_(* &quot;-&quot;??_);_(@_)"/>
    <numFmt numFmtId="175" formatCode="mm\-dd\-yyyy"/>
    <numFmt numFmtId="176" formatCode="[$IDR]\ #,##0"/>
  </numFmts>
  <fonts count="23" x14ac:knownFonts="1">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sz val="8"/>
      <color rgb="FF000000"/>
      <name val="Segoe UI"/>
      <family val="2"/>
    </font>
    <font>
      <i/>
      <sz val="11"/>
      <name val="Calibri"/>
      <family val="2"/>
      <scheme val="minor"/>
    </font>
  </fonts>
  <fills count="14">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43" fontId="1"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3" fillId="0" borderId="0"/>
    <xf numFmtId="43" fontId="3" fillId="0" borderId="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9" fillId="0" borderId="0"/>
    <xf numFmtId="43" fontId="9" fillId="0" borderId="0" applyFont="0" applyFill="0" applyBorder="0" applyAlignment="0" applyProtection="0"/>
    <xf numFmtId="171" fontId="11" fillId="0" borderId="0" applyFont="0" applyFill="0" applyBorder="0" applyAlignment="0" applyProtection="0"/>
    <xf numFmtId="0" fontId="7" fillId="0" borderId="0"/>
    <xf numFmtId="9" fontId="13" fillId="0" borderId="0" applyFont="0" applyFill="0" applyBorder="0" applyAlignment="0" applyProtection="0"/>
    <xf numFmtId="0" fontId="18" fillId="0" borderId="0" applyNumberFormat="0" applyFill="0" applyBorder="0" applyAlignment="0" applyProtection="0"/>
    <xf numFmtId="43" fontId="13" fillId="0" borderId="0" applyFont="0" applyFill="0" applyBorder="0" applyAlignment="0" applyProtection="0"/>
  </cellStyleXfs>
  <cellXfs count="159">
    <xf numFmtId="0" fontId="0" fillId="0" borderId="0" xfId="0"/>
    <xf numFmtId="0" fontId="10" fillId="0" borderId="0" xfId="10" applyFont="1" applyProtection="1">
      <protection hidden="1"/>
    </xf>
    <xf numFmtId="0" fontId="10" fillId="0" borderId="0" xfId="10" applyFont="1" applyAlignment="1" applyProtection="1">
      <alignment horizontal="center"/>
      <protection hidden="1"/>
    </xf>
    <xf numFmtId="172" fontId="10" fillId="0" borderId="0" xfId="1" applyNumberFormat="1" applyFont="1" applyAlignment="1" applyProtection="1">
      <alignment horizontal="center"/>
      <protection hidden="1"/>
    </xf>
    <xf numFmtId="0" fontId="16" fillId="5" borderId="12" xfId="0" applyFont="1" applyFill="1" applyBorder="1" applyAlignment="1">
      <alignment vertical="center"/>
    </xf>
    <xf numFmtId="0" fontId="16" fillId="5" borderId="11" xfId="0" applyFont="1" applyFill="1" applyBorder="1" applyAlignment="1">
      <alignment vertical="center"/>
    </xf>
    <xf numFmtId="0" fontId="16" fillId="5" borderId="13" xfId="0" applyFont="1" applyFill="1" applyBorder="1" applyAlignment="1">
      <alignment vertical="center"/>
    </xf>
    <xf numFmtId="0" fontId="16" fillId="5" borderId="14" xfId="0" applyFont="1" applyFill="1" applyBorder="1" applyAlignment="1">
      <alignment vertical="center"/>
    </xf>
    <xf numFmtId="0" fontId="17" fillId="5" borderId="0" xfId="0" applyFont="1" applyFill="1" applyAlignment="1">
      <alignment vertical="center"/>
    </xf>
    <xf numFmtId="0" fontId="16" fillId="5" borderId="0" xfId="0" applyFont="1" applyFill="1" applyAlignment="1">
      <alignment vertical="center"/>
    </xf>
    <xf numFmtId="0" fontId="16" fillId="5" borderId="15" xfId="0" applyFont="1" applyFill="1" applyBorder="1" applyAlignment="1">
      <alignment vertical="center"/>
    </xf>
    <xf numFmtId="0" fontId="16" fillId="5" borderId="0" xfId="0" applyFont="1" applyFill="1" applyAlignment="1">
      <alignment horizontal="center" vertical="center"/>
    </xf>
    <xf numFmtId="0" fontId="16" fillId="5" borderId="0" xfId="0" applyFont="1" applyFill="1" applyAlignment="1">
      <alignment horizontal="left" vertical="center"/>
    </xf>
    <xf numFmtId="0" fontId="16" fillId="5" borderId="2" xfId="0" applyFont="1" applyFill="1" applyBorder="1" applyAlignment="1">
      <alignment horizontal="center" vertical="center"/>
    </xf>
    <xf numFmtId="0" fontId="16" fillId="6" borderId="2" xfId="0" applyFont="1" applyFill="1" applyBorder="1" applyAlignment="1" applyProtection="1">
      <alignment horizontal="center" vertical="center"/>
      <protection locked="0"/>
    </xf>
    <xf numFmtId="0" fontId="16" fillId="6" borderId="2" xfId="0" applyFont="1" applyFill="1" applyBorder="1" applyAlignment="1">
      <alignment horizontal="center" vertical="center"/>
    </xf>
    <xf numFmtId="0" fontId="16" fillId="5" borderId="0" xfId="0" applyFont="1" applyFill="1" applyAlignment="1" applyProtection="1">
      <alignment horizontal="center" vertical="center"/>
      <protection locked="0"/>
    </xf>
    <xf numFmtId="0" fontId="16" fillId="5" borderId="15" xfId="0" applyFont="1" applyFill="1" applyBorder="1" applyAlignment="1">
      <alignment horizontal="left" vertical="center"/>
    </xf>
    <xf numFmtId="0" fontId="16" fillId="5" borderId="19" xfId="0" applyFont="1" applyFill="1" applyBorder="1" applyAlignment="1">
      <alignment vertical="center"/>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16" fillId="5" borderId="1" xfId="0" applyFont="1" applyFill="1" applyBorder="1" applyAlignment="1" applyProtection="1">
      <alignment horizontal="center" vertical="center"/>
      <protection locked="0"/>
    </xf>
    <xf numFmtId="0" fontId="16" fillId="5" borderId="20" xfId="0" applyFont="1" applyFill="1" applyBorder="1" applyAlignment="1">
      <alignment vertical="center"/>
    </xf>
    <xf numFmtId="0" fontId="15" fillId="7" borderId="2" xfId="6" applyFont="1" applyFill="1" applyBorder="1" applyAlignment="1">
      <alignment horizontal="center" vertical="top"/>
    </xf>
    <xf numFmtId="3" fontId="10" fillId="0" borderId="2" xfId="6" applyNumberFormat="1" applyFont="1" applyBorder="1" applyAlignment="1">
      <alignment horizontal="center"/>
    </xf>
    <xf numFmtId="174" fontId="10" fillId="0" borderId="2" xfId="7" applyNumberFormat="1" applyFont="1" applyFill="1" applyBorder="1" applyAlignment="1">
      <alignment horizontal="right"/>
    </xf>
    <xf numFmtId="43" fontId="10" fillId="0" borderId="2" xfId="1" applyFont="1" applyBorder="1" applyAlignment="1">
      <alignment horizontal="center" vertical="center"/>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18"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18" fillId="0" borderId="2" xfId="15" applyFill="1" applyBorder="1" applyAlignment="1" applyProtection="1">
      <alignment horizontal="center"/>
      <protection locked="0"/>
    </xf>
    <xf numFmtId="166" fontId="0" fillId="0" borderId="2" xfId="16" applyNumberFormat="1" applyFont="1" applyFill="1" applyBorder="1" applyAlignment="1" applyProtection="1">
      <alignment vertical="center"/>
      <protection locked="0"/>
    </xf>
    <xf numFmtId="1"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vertical="center"/>
      <protection hidden="1"/>
    </xf>
    <xf numFmtId="167"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6" fontId="15" fillId="0" borderId="2" xfId="16" applyNumberFormat="1" applyFont="1" applyBorder="1" applyAlignment="1" applyProtection="1">
      <alignment vertical="center"/>
      <protection hidden="1"/>
    </xf>
    <xf numFmtId="166" fontId="15" fillId="9" borderId="2" xfId="0" applyNumberFormat="1" applyFont="1" applyFill="1" applyBorder="1" applyAlignment="1" applyProtection="1">
      <alignment vertical="center"/>
      <protection hidden="1"/>
    </xf>
    <xf numFmtId="166" fontId="15" fillId="9"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14"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4" fontId="5" fillId="3" borderId="0" xfId="0" applyNumberFormat="1" applyFont="1" applyFill="1" applyAlignment="1" applyProtection="1">
      <alignment horizontal="center" vertical="center"/>
      <protection hidden="1"/>
    </xf>
    <xf numFmtId="0" fontId="20" fillId="2" borderId="0" xfId="0" applyFont="1" applyFill="1" applyAlignment="1" applyProtection="1">
      <alignment vertical="center" wrapText="1"/>
      <protection hidden="1"/>
    </xf>
    <xf numFmtId="0" fontId="12"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2" fillId="2" borderId="7" xfId="0" applyFont="1" applyFill="1" applyBorder="1" applyAlignment="1" applyProtection="1">
      <alignment vertical="center"/>
      <protection hidden="1"/>
    </xf>
    <xf numFmtId="0" fontId="12"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0"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5" fontId="5" fillId="2" borderId="0" xfId="0" applyNumberFormat="1" applyFont="1" applyFill="1" applyAlignment="1" applyProtection="1">
      <alignment horizontal="center" vertical="center"/>
      <protection hidden="1"/>
    </xf>
    <xf numFmtId="167" fontId="4" fillId="5" borderId="0" xfId="0" applyNumberFormat="1" applyFont="1" applyFill="1" applyAlignment="1" applyProtection="1">
      <alignment horizontal="left" vertical="center"/>
      <protection hidden="1"/>
    </xf>
    <xf numFmtId="175" fontId="0" fillId="0" borderId="0" xfId="0" applyNumberFormat="1" applyAlignment="1" applyProtection="1">
      <alignment horizontal="center" vertical="center"/>
      <protection hidden="1"/>
    </xf>
    <xf numFmtId="166" fontId="0" fillId="0" borderId="0" xfId="16" applyNumberFormat="1" applyFont="1" applyAlignment="1" applyProtection="1">
      <alignment horizontal="left" vertical="center"/>
      <protection hidden="1"/>
    </xf>
    <xf numFmtId="0" fontId="0" fillId="0" borderId="0" xfId="0" applyProtection="1">
      <protection hidden="1"/>
    </xf>
    <xf numFmtId="0" fontId="14" fillId="0" borderId="0" xfId="0" applyFont="1" applyProtection="1">
      <protection hidden="1"/>
    </xf>
    <xf numFmtId="175" fontId="15" fillId="0" borderId="0" xfId="0" applyNumberFormat="1" applyFont="1" applyAlignment="1" applyProtection="1">
      <alignment horizontal="center" vertical="center"/>
      <protection hidden="1"/>
    </xf>
    <xf numFmtId="166" fontId="0" fillId="0" borderId="0" xfId="0" applyNumberFormat="1" applyAlignment="1" applyProtection="1">
      <alignment horizontal="left" vertical="center"/>
      <protection hidden="1"/>
    </xf>
    <xf numFmtId="0" fontId="15" fillId="8"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43" fontId="0" fillId="0" borderId="2" xfId="16" applyFont="1" applyFill="1" applyBorder="1" applyAlignment="1" applyProtection="1">
      <alignment horizontal="center" vertical="center"/>
      <protection hidden="1"/>
    </xf>
    <xf numFmtId="0" fontId="0" fillId="0" borderId="2" xfId="0" quotePrefix="1" applyBorder="1" applyAlignment="1" applyProtection="1">
      <alignment horizontal="center" vertical="center"/>
      <protection hidden="1"/>
    </xf>
    <xf numFmtId="0" fontId="18" fillId="0" borderId="2" xfId="15" applyBorder="1" applyAlignment="1" applyProtection="1">
      <alignment horizontal="center"/>
      <protection hidden="1"/>
    </xf>
    <xf numFmtId="0" fontId="15" fillId="0" borderId="2" xfId="0" applyFont="1" applyBorder="1" applyAlignment="1" applyProtection="1">
      <alignment horizontal="center" vertical="center"/>
      <protection hidden="1"/>
    </xf>
    <xf numFmtId="0" fontId="15" fillId="0" borderId="0" xfId="0" applyFont="1" applyAlignment="1" applyProtection="1">
      <alignment horizontal="left" vertical="center"/>
      <protection hidden="1"/>
    </xf>
    <xf numFmtId="166" fontId="0" fillId="0" borderId="0" xfId="16" applyNumberFormat="1" applyFont="1" applyAlignment="1" applyProtection="1">
      <alignment vertical="center"/>
      <protection hidden="1"/>
    </xf>
    <xf numFmtId="167" fontId="0" fillId="0" borderId="2" xfId="0" applyNumberFormat="1" applyBorder="1" applyAlignment="1" applyProtection="1">
      <alignment horizontal="center" vertical="center"/>
      <protection locked="0"/>
    </xf>
    <xf numFmtId="0" fontId="0" fillId="0" borderId="0" xfId="0" quotePrefix="1"/>
    <xf numFmtId="0" fontId="15" fillId="0" borderId="0" xfId="0" applyFont="1"/>
    <xf numFmtId="166" fontId="0" fillId="10"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2" fontId="10" fillId="0" borderId="2" xfId="1" applyNumberFormat="1" applyFont="1" applyBorder="1" applyAlignment="1">
      <alignment horizontal="center" vertical="center"/>
    </xf>
    <xf numFmtId="176" fontId="13" fillId="0" borderId="0" xfId="0" applyNumberFormat="1" applyFont="1" applyAlignment="1">
      <alignment horizontal="center"/>
    </xf>
    <xf numFmtId="0" fontId="13" fillId="0" borderId="0" xfId="0" applyFont="1" applyAlignment="1">
      <alignment horizontal="center"/>
    </xf>
    <xf numFmtId="0" fontId="10" fillId="0" borderId="0" xfId="10" applyFont="1" applyAlignment="1" applyProtection="1">
      <alignment horizontal="right"/>
      <protection hidden="1"/>
    </xf>
    <xf numFmtId="0" fontId="13" fillId="0" borderId="0" xfId="0" applyFont="1"/>
    <xf numFmtId="1" fontId="10" fillId="0" borderId="0" xfId="10" applyNumberFormat="1" applyFont="1" applyAlignment="1" applyProtection="1">
      <alignment horizontal="center"/>
      <protection hidden="1"/>
    </xf>
    <xf numFmtId="1" fontId="10" fillId="0" borderId="0" xfId="10" applyNumberFormat="1" applyFont="1" applyAlignment="1" applyProtection="1">
      <alignment horizontal="right"/>
      <protection hidden="1"/>
    </xf>
    <xf numFmtId="0" fontId="17" fillId="0" borderId="0" xfId="0" applyFont="1" applyAlignment="1" applyProtection="1">
      <alignment vertical="top" wrapText="1"/>
      <protection hidden="1"/>
    </xf>
    <xf numFmtId="0" fontId="10" fillId="0" borderId="0" xfId="0" applyFont="1" applyAlignment="1" applyProtection="1">
      <alignment horizontal="center" vertical="top" wrapText="1"/>
      <protection hidden="1"/>
    </xf>
    <xf numFmtId="2" fontId="10" fillId="0" borderId="2" xfId="7" applyNumberFormat="1" applyFont="1" applyFill="1" applyBorder="1" applyAlignment="1">
      <alignment horizontal="center" vertical="center"/>
    </xf>
    <xf numFmtId="43" fontId="10" fillId="0" borderId="2" xfId="1" applyFont="1" applyFill="1" applyBorder="1" applyAlignment="1">
      <alignment horizontal="center" vertical="center"/>
    </xf>
    <xf numFmtId="174" fontId="10" fillId="0" borderId="2" xfId="7" applyNumberFormat="1" applyFont="1" applyFill="1" applyBorder="1" applyAlignment="1">
      <alignment horizontal="center" vertical="center"/>
    </xf>
    <xf numFmtId="164" fontId="5" fillId="12" borderId="0" xfId="0" applyNumberFormat="1" applyFont="1" applyFill="1" applyAlignment="1" applyProtection="1">
      <alignment horizontal="left" vertical="center" wrapText="1"/>
      <protection locked="0"/>
    </xf>
    <xf numFmtId="0" fontId="4"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4" fontId="5"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top" wrapText="1"/>
      <protection hidden="1"/>
    </xf>
    <xf numFmtId="169" fontId="5" fillId="11" borderId="0" xfId="0" applyNumberFormat="1" applyFont="1" applyFill="1" applyAlignment="1" applyProtection="1">
      <alignment vertical="center"/>
      <protection locked="0"/>
    </xf>
    <xf numFmtId="0" fontId="4" fillId="2" borderId="0" xfId="0" applyFont="1" applyFill="1" applyAlignment="1" applyProtection="1">
      <alignment horizontal="left" vertical="center"/>
      <protection hidden="1"/>
    </xf>
    <xf numFmtId="168" fontId="5" fillId="2" borderId="0" xfId="0" applyNumberFormat="1" applyFont="1" applyFill="1" applyAlignment="1" applyProtection="1">
      <alignment horizontal="center" vertical="center"/>
      <protection hidden="1"/>
    </xf>
    <xf numFmtId="168" fontId="5" fillId="2" borderId="0" xfId="0" applyNumberFormat="1" applyFont="1" applyFill="1" applyAlignment="1" applyProtection="1">
      <alignment horizontal="right" vertical="center"/>
      <protection hidden="1"/>
    </xf>
    <xf numFmtId="168" fontId="5" fillId="2" borderId="1" xfId="0" applyNumberFormat="1" applyFont="1" applyFill="1" applyBorder="1" applyAlignment="1" applyProtection="1">
      <alignment horizontal="center" vertical="center"/>
      <protection hidden="1"/>
    </xf>
    <xf numFmtId="0" fontId="12" fillId="2" borderId="0" xfId="0" applyFont="1" applyFill="1" applyAlignment="1" applyProtection="1">
      <alignment horizontal="center" vertical="center"/>
      <protection hidden="1"/>
    </xf>
    <xf numFmtId="0" fontId="12" fillId="2" borderId="0" xfId="0" applyFont="1" applyFill="1" applyAlignment="1" applyProtection="1">
      <alignment horizontal="center" vertical="center" wrapText="1"/>
      <protection hidden="1"/>
    </xf>
    <xf numFmtId="0" fontId="4" fillId="13" borderId="3" xfId="0" applyFont="1" applyFill="1" applyBorder="1" applyAlignment="1" applyProtection="1">
      <alignment horizontal="center" vertical="center"/>
      <protection hidden="1"/>
    </xf>
    <xf numFmtId="0" fontId="4" fillId="13" borderId="4" xfId="0" applyFont="1" applyFill="1" applyBorder="1" applyAlignment="1" applyProtection="1">
      <alignment horizontal="center" vertical="center"/>
      <protection hidden="1"/>
    </xf>
    <xf numFmtId="0" fontId="4" fillId="13" borderId="5"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4" fillId="13" borderId="0" xfId="0" applyFont="1" applyFill="1" applyAlignment="1" applyProtection="1">
      <alignment horizontal="center" vertical="center"/>
      <protection hidden="1"/>
    </xf>
    <xf numFmtId="0" fontId="4" fillId="13" borderId="7" xfId="0" applyFont="1" applyFill="1" applyBorder="1" applyAlignment="1" applyProtection="1">
      <alignment horizontal="center" vertical="center"/>
      <protection hidden="1"/>
    </xf>
    <xf numFmtId="0" fontId="4" fillId="13" borderId="8" xfId="0" applyFont="1" applyFill="1" applyBorder="1" applyAlignment="1" applyProtection="1">
      <alignment horizontal="center" vertical="center"/>
      <protection hidden="1"/>
    </xf>
    <xf numFmtId="0" fontId="4" fillId="13" borderId="9" xfId="0" applyFont="1" applyFill="1" applyBorder="1" applyAlignment="1" applyProtection="1">
      <alignment horizontal="center" vertical="center"/>
      <protection hidden="1"/>
    </xf>
    <xf numFmtId="0" fontId="4" fillId="13"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5" fillId="11" borderId="0" xfId="1" applyNumberFormat="1" applyFont="1" applyFill="1" applyBorder="1" applyAlignment="1" applyProtection="1">
      <alignment horizontal="center" vertical="center"/>
      <protection locked="0"/>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4" fontId="5" fillId="11" borderId="0" xfId="0" applyNumberFormat="1" applyFont="1" applyFill="1" applyAlignment="1" applyProtection="1">
      <alignment horizontal="center" vertical="center"/>
      <protection locked="0"/>
    </xf>
    <xf numFmtId="164" fontId="5" fillId="12" borderId="0" xfId="0" applyNumberFormat="1" applyFont="1" applyFill="1" applyAlignment="1" applyProtection="1">
      <alignment horizontal="left" vertical="center"/>
      <protection locked="0"/>
    </xf>
    <xf numFmtId="164" fontId="5" fillId="11" borderId="0" xfId="0" applyNumberFormat="1" applyFont="1" applyFill="1" applyAlignment="1" applyProtection="1">
      <alignment horizontal="left" vertical="center"/>
      <protection locked="0"/>
    </xf>
    <xf numFmtId="0" fontId="15" fillId="7" borderId="2" xfId="6" applyFont="1" applyFill="1" applyBorder="1" applyAlignment="1">
      <alignment horizontal="center" vertical="center"/>
    </xf>
    <xf numFmtId="0" fontId="15" fillId="7" borderId="2" xfId="6" applyFont="1" applyFill="1" applyBorder="1" applyAlignment="1">
      <alignment horizontal="center" vertical="top"/>
    </xf>
    <xf numFmtId="0" fontId="16" fillId="5" borderId="16" xfId="0" applyFont="1" applyFill="1" applyBorder="1" applyAlignment="1">
      <alignment horizontal="center" vertical="center"/>
    </xf>
    <xf numFmtId="0" fontId="16" fillId="5" borderId="18" xfId="0" applyFont="1" applyFill="1" applyBorder="1" applyAlignment="1">
      <alignment horizontal="center" vertical="center"/>
    </xf>
    <xf numFmtId="0" fontId="16" fillId="6" borderId="16" xfId="0" quotePrefix="1" applyFont="1" applyFill="1" applyBorder="1" applyAlignment="1" applyProtection="1">
      <alignment horizontal="left" vertical="center"/>
      <protection locked="0"/>
    </xf>
    <xf numFmtId="0" fontId="16" fillId="6" borderId="17" xfId="0" quotePrefix="1" applyFont="1" applyFill="1" applyBorder="1" applyAlignment="1" applyProtection="1">
      <alignment horizontal="left" vertical="center"/>
      <protection locked="0"/>
    </xf>
    <xf numFmtId="0" fontId="16" fillId="6" borderId="18" xfId="0" quotePrefix="1" applyFont="1" applyFill="1" applyBorder="1" applyAlignment="1" applyProtection="1">
      <alignment horizontal="left" vertical="center"/>
      <protection locked="0"/>
    </xf>
    <xf numFmtId="173" fontId="16" fillId="6" borderId="16" xfId="5" quotePrefix="1" applyNumberFormat="1" applyFont="1" applyFill="1" applyBorder="1" applyAlignment="1" applyProtection="1">
      <alignment horizontal="left" vertical="center"/>
      <protection locked="0"/>
    </xf>
    <xf numFmtId="173" fontId="16" fillId="6" borderId="17" xfId="5" quotePrefix="1" applyNumberFormat="1" applyFont="1" applyFill="1" applyBorder="1" applyAlignment="1" applyProtection="1">
      <alignment horizontal="left" vertical="center"/>
      <protection locked="0"/>
    </xf>
    <xf numFmtId="173" fontId="16" fillId="6" borderId="18" xfId="5" quotePrefix="1" applyNumberFormat="1" applyFont="1" applyFill="1" applyBorder="1" applyAlignment="1" applyProtection="1">
      <alignment horizontal="left" vertical="center"/>
      <protection locked="0"/>
    </xf>
    <xf numFmtId="0" fontId="10" fillId="0" borderId="0" xfId="10" applyFont="1" applyAlignment="1" applyProtection="1">
      <alignment horizontal="center"/>
      <protection hidden="1"/>
    </xf>
    <xf numFmtId="0" fontId="10" fillId="0" borderId="0" xfId="0" applyFont="1" applyAlignment="1" applyProtection="1">
      <alignment horizontal="left" vertical="top" wrapText="1"/>
      <protection hidden="1"/>
    </xf>
    <xf numFmtId="0" fontId="22" fillId="0" borderId="0" xfId="0" applyFont="1" applyAlignment="1" applyProtection="1">
      <alignment horizontal="left" vertical="top" wrapText="1"/>
      <protection hidden="1"/>
    </xf>
    <xf numFmtId="0" fontId="15" fillId="8" borderId="2" xfId="0" applyFont="1" applyFill="1" applyBorder="1" applyAlignment="1" applyProtection="1">
      <alignment horizontal="center" vertical="center" wrapText="1"/>
      <protection hidden="1"/>
    </xf>
    <xf numFmtId="0" fontId="15" fillId="8" borderId="2" xfId="0" applyFont="1" applyFill="1" applyBorder="1" applyAlignment="1" applyProtection="1">
      <alignment horizontal="center" vertical="center"/>
      <protection hidden="1"/>
    </xf>
    <xf numFmtId="0" fontId="19" fillId="8" borderId="2" xfId="0" applyFont="1" applyFill="1" applyBorder="1" applyAlignment="1" applyProtection="1">
      <alignment horizontal="center" vertical="center" wrapText="1"/>
      <protection hidden="1"/>
    </xf>
    <xf numFmtId="0" fontId="15" fillId="8" borderId="21" xfId="0" applyFont="1" applyFill="1" applyBorder="1" applyAlignment="1" applyProtection="1">
      <alignment horizontal="center" vertical="center"/>
      <protection hidden="1"/>
    </xf>
    <xf numFmtId="0" fontId="15" fillId="8" borderId="22" xfId="0" applyFont="1" applyFill="1" applyBorder="1" applyAlignment="1" applyProtection="1">
      <alignment horizontal="center" vertical="center"/>
      <protection hidden="1"/>
    </xf>
    <xf numFmtId="175" fontId="15" fillId="8" borderId="2" xfId="0" applyNumberFormat="1" applyFont="1" applyFill="1" applyBorder="1" applyAlignment="1" applyProtection="1">
      <alignment horizontal="center" vertical="center" wrapText="1"/>
      <protection hidden="1"/>
    </xf>
    <xf numFmtId="175" fontId="15" fillId="8" borderId="2" xfId="0" applyNumberFormat="1" applyFont="1" applyFill="1" applyBorder="1" applyAlignment="1" applyProtection="1">
      <alignment horizontal="center" vertical="center"/>
      <protection hidden="1"/>
    </xf>
    <xf numFmtId="0" fontId="15" fillId="9" borderId="21" xfId="0" applyFont="1" applyFill="1" applyBorder="1" applyAlignment="1" applyProtection="1">
      <alignment horizontal="center" vertical="center" wrapText="1"/>
      <protection hidden="1"/>
    </xf>
    <xf numFmtId="0" fontId="15" fillId="9" borderId="22" xfId="0" applyFont="1" applyFill="1" applyBorder="1" applyAlignment="1" applyProtection="1">
      <alignment horizontal="center" vertical="center" wrapText="1"/>
      <protection hidden="1"/>
    </xf>
    <xf numFmtId="166" fontId="15" fillId="8" borderId="2" xfId="16" applyNumberFormat="1" applyFont="1" applyFill="1" applyBorder="1" applyAlignment="1" applyProtection="1">
      <alignment horizontal="center" vertical="center"/>
      <protection hidden="1"/>
    </xf>
    <xf numFmtId="0" fontId="15" fillId="9" borderId="2" xfId="0" applyFont="1" applyFill="1" applyBorder="1" applyAlignment="1" applyProtection="1">
      <alignment horizontal="center" vertical="center" wrapText="1"/>
      <protection hidden="1"/>
    </xf>
    <xf numFmtId="0" fontId="15" fillId="9" borderId="2" xfId="0" applyFont="1" applyFill="1" applyBorder="1" applyAlignment="1" applyProtection="1">
      <alignment horizontal="center" vertical="center"/>
      <protection hidden="1"/>
    </xf>
  </cellXfs>
  <cellStyles count="17">
    <cellStyle name="Comma" xfId="1" builtinId="3"/>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yperlink" xfId="15" builtinId="8"/>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xfId="14" builtinId="5"/>
    <cellStyle name="Percent 2" xfId="5" xr:uid="{00000000-0005-0000-0000-00000B000000}"/>
  </cellStyles>
  <dxfs count="10">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fmlaLink="$AS$40"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95250</xdr:colOff>
          <xdr:row>2</xdr:row>
          <xdr:rowOff>152400</xdr:rowOff>
        </xdr:from>
        <xdr:to>
          <xdr:col>6</xdr:col>
          <xdr:colOff>209550</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2</xdr:row>
          <xdr:rowOff>152400</xdr:rowOff>
        </xdr:from>
        <xdr:to>
          <xdr:col>7</xdr:col>
          <xdr:colOff>590550</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poajk@simasjiwa.co.id" TargetMode="External"/><Relationship Id="rId7" Type="http://schemas.openxmlformats.org/officeDocument/2006/relationships/printerSettings" Target="../printerSettings/printerSettings1.bin"/><Relationship Id="rId2" Type="http://schemas.openxmlformats.org/officeDocument/2006/relationships/hyperlink" Target="mailto:digital@simasjiwa.co.id" TargetMode="External"/><Relationship Id="rId1" Type="http://schemas.openxmlformats.org/officeDocument/2006/relationships/hyperlink" Target="mailto:direct.sales@simasjiwa.co.id" TargetMode="External"/><Relationship Id="rId6" Type="http://schemas.openxmlformats.org/officeDocument/2006/relationships/hyperlink" Target="mailto:poajk@simasjiwa.co.id" TargetMode="External"/><Relationship Id="rId11" Type="http://schemas.openxmlformats.org/officeDocument/2006/relationships/ctrlProp" Target="../ctrlProps/ctrlProp2.xml"/><Relationship Id="rId5" Type="http://schemas.openxmlformats.org/officeDocument/2006/relationships/hyperlink" Target="mailto:bancassurance@simasjiwa.co.id" TargetMode="External"/><Relationship Id="rId10" Type="http://schemas.openxmlformats.org/officeDocument/2006/relationships/ctrlProp" Target="../ctrlProps/ctrlProp1.xml"/><Relationship Id="rId4" Type="http://schemas.openxmlformats.org/officeDocument/2006/relationships/hyperlink" Target="mailto:syariah.div@simasjiwa.co.id"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Relationship Id="rId2" Type="http://schemas.openxmlformats.org/officeDocument/2006/relationships/hyperlink" Target="mailto:bbb@gmail.com" TargetMode="External"/><Relationship Id="rId1" Type="http://schemas.openxmlformats.org/officeDocument/2006/relationships/hyperlink" Target="mailto:aaa@gmail.com" TargetMode="External"/><Relationship Id="rId6" Type="http://schemas.openxmlformats.org/officeDocument/2006/relationships/printerSettings" Target="../printerSettings/printerSettings4.bin"/><Relationship Id="rId5" Type="http://schemas.openxmlformats.org/officeDocument/2006/relationships/hyperlink" Target="mailto:eee@gmail.com" TargetMode="External"/><Relationship Id="rId4" Type="http://schemas.openxmlformats.org/officeDocument/2006/relationships/hyperlink" Target="mailto:ddd@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BL174"/>
  <sheetViews>
    <sheetView zoomScale="90" zoomScaleNormal="90" workbookViewId="0"/>
  </sheetViews>
  <sheetFormatPr defaultRowHeight="14.5" x14ac:dyDescent="0.35"/>
  <cols>
    <col min="2" max="2" width="3.1796875" customWidth="1"/>
    <col min="3" max="4" width="15.26953125" customWidth="1"/>
    <col min="5" max="5" width="3.1796875" customWidth="1"/>
    <col min="10" max="10" width="3.1796875" customWidth="1"/>
  </cols>
  <sheetData>
    <row r="2" spans="2:45" x14ac:dyDescent="0.35">
      <c r="L2" s="91" t="s">
        <v>88</v>
      </c>
    </row>
    <row r="3" spans="2:45" x14ac:dyDescent="0.35">
      <c r="B3" s="4"/>
      <c r="C3" s="5"/>
      <c r="D3" s="5"/>
      <c r="E3" s="5"/>
      <c r="F3" s="5"/>
      <c r="G3" s="5"/>
      <c r="H3" s="5"/>
      <c r="I3" s="5"/>
      <c r="J3" s="6"/>
      <c r="L3" s="134" t="s">
        <v>44</v>
      </c>
      <c r="M3" s="135" t="s">
        <v>45</v>
      </c>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R3" s="28" t="s">
        <v>0</v>
      </c>
      <c r="AS3" s="28" t="s">
        <v>46</v>
      </c>
    </row>
    <row r="4" spans="2:45" x14ac:dyDescent="0.35">
      <c r="B4" s="7"/>
      <c r="C4" s="8" t="s">
        <v>90</v>
      </c>
      <c r="D4" s="9"/>
      <c r="E4" s="9"/>
      <c r="F4" s="9"/>
      <c r="G4" s="9"/>
      <c r="H4" s="9"/>
      <c r="I4" s="9"/>
      <c r="J4" s="10"/>
      <c r="L4" s="134"/>
      <c r="M4" s="23">
        <v>1</v>
      </c>
      <c r="N4" s="23">
        <v>2</v>
      </c>
      <c r="O4" s="23">
        <v>3</v>
      </c>
      <c r="P4" s="23">
        <v>4</v>
      </c>
      <c r="Q4" s="23">
        <v>5</v>
      </c>
      <c r="R4" s="23">
        <v>6</v>
      </c>
      <c r="S4" s="23">
        <v>7</v>
      </c>
      <c r="T4" s="23">
        <v>8</v>
      </c>
      <c r="U4" s="23">
        <v>9</v>
      </c>
      <c r="V4" s="23">
        <v>10</v>
      </c>
      <c r="W4" s="23">
        <v>11</v>
      </c>
      <c r="X4" s="23">
        <v>12</v>
      </c>
      <c r="Y4" s="23">
        <v>13</v>
      </c>
      <c r="Z4" s="23">
        <v>14</v>
      </c>
      <c r="AA4" s="23">
        <v>15</v>
      </c>
      <c r="AB4" s="23">
        <v>16</v>
      </c>
      <c r="AC4" s="23">
        <v>17</v>
      </c>
      <c r="AD4" s="23">
        <v>18</v>
      </c>
      <c r="AE4" s="23">
        <v>19</v>
      </c>
      <c r="AF4" s="23">
        <v>20</v>
      </c>
      <c r="AG4" s="23">
        <v>21</v>
      </c>
      <c r="AH4" s="23">
        <v>22</v>
      </c>
      <c r="AI4" s="23">
        <v>23</v>
      </c>
      <c r="AJ4" s="23">
        <v>24</v>
      </c>
      <c r="AK4" s="23">
        <v>25</v>
      </c>
      <c r="AL4" s="23">
        <v>26</v>
      </c>
      <c r="AM4" s="23">
        <v>27</v>
      </c>
      <c r="AN4" s="23">
        <v>28</v>
      </c>
      <c r="AO4" s="23">
        <v>29</v>
      </c>
      <c r="AP4" s="23">
        <v>30</v>
      </c>
      <c r="AR4" s="28">
        <v>1</v>
      </c>
      <c r="AS4" s="27">
        <v>0.2</v>
      </c>
    </row>
    <row r="5" spans="2:45" x14ac:dyDescent="0.35">
      <c r="B5" s="7"/>
      <c r="C5" s="8"/>
      <c r="D5" s="9"/>
      <c r="E5" s="9"/>
      <c r="F5" s="9"/>
      <c r="G5" s="9"/>
      <c r="H5" s="9"/>
      <c r="I5" s="9"/>
      <c r="J5" s="10"/>
      <c r="L5" s="24" t="str">
        <f>IF(AND(ROW(K5)+12&gt;=$G$11,ROW(K5)+12&lt;=$I$11),ROW(K5)+12,"")</f>
        <v/>
      </c>
      <c r="M5" s="26">
        <f>IF('Simulasi Premi 1 (Personal)'!$E$38="Menurun",'Spek Produk'!M63,'Spek Produk'!M121)</f>
        <v>0</v>
      </c>
      <c r="N5" s="26">
        <f>IF('Simulasi Premi 1 (Personal)'!$E$38="Menurun",'Spek Produk'!N63,'Spek Produk'!N121)</f>
        <v>0</v>
      </c>
      <c r="O5" s="26">
        <f>IF('Simulasi Premi 1 (Personal)'!$E$38="Menurun",'Spek Produk'!O63,'Spek Produk'!O121)</f>
        <v>0</v>
      </c>
      <c r="P5" s="26">
        <f>IF('Simulasi Premi 1 (Personal)'!$E$38="Menurun",'Spek Produk'!P63,'Spek Produk'!P121)</f>
        <v>0</v>
      </c>
      <c r="Q5" s="26">
        <f>IF('Simulasi Premi 1 (Personal)'!$E$38="Menurun",'Spek Produk'!Q63,'Spek Produk'!Q121)</f>
        <v>0</v>
      </c>
      <c r="R5" s="26">
        <f>IF('Simulasi Premi 1 (Personal)'!$E$38="Menurun",'Spek Produk'!R63,'Spek Produk'!R121)</f>
        <v>0</v>
      </c>
      <c r="S5" s="26">
        <f>IF('Simulasi Premi 1 (Personal)'!$E$38="Menurun",'Spek Produk'!S63,'Spek Produk'!S121)</f>
        <v>0</v>
      </c>
      <c r="T5" s="26">
        <f>IF('Simulasi Premi 1 (Personal)'!$E$38="Menurun",'Spek Produk'!T63,'Spek Produk'!T121)</f>
        <v>0</v>
      </c>
      <c r="U5" s="26">
        <f>IF('Simulasi Premi 1 (Personal)'!$E$38="Menurun",'Spek Produk'!U63,'Spek Produk'!U121)</f>
        <v>0</v>
      </c>
      <c r="V5" s="26">
        <f>IF('Simulasi Premi 1 (Personal)'!$E$38="Menurun",'Spek Produk'!V63,'Spek Produk'!V121)</f>
        <v>0</v>
      </c>
      <c r="W5" s="26">
        <f>IF('Simulasi Premi 1 (Personal)'!$E$38="Menurun",'Spek Produk'!W63,'Spek Produk'!W121)</f>
        <v>0</v>
      </c>
      <c r="X5" s="26">
        <f>IF('Simulasi Premi 1 (Personal)'!$E$38="Menurun",'Spek Produk'!X63,'Spek Produk'!X121)</f>
        <v>0</v>
      </c>
      <c r="Y5" s="26">
        <f>IF('Simulasi Premi 1 (Personal)'!$E$38="Menurun",'Spek Produk'!Y63,'Spek Produk'!Y121)</f>
        <v>0</v>
      </c>
      <c r="Z5" s="26">
        <f>IF('Simulasi Premi 1 (Personal)'!$E$38="Menurun",'Spek Produk'!Z63,'Spek Produk'!Z121)</f>
        <v>0</v>
      </c>
      <c r="AA5" s="26">
        <f>IF('Simulasi Premi 1 (Personal)'!$E$38="Menurun",'Spek Produk'!AA63,'Spek Produk'!AA121)</f>
        <v>0</v>
      </c>
      <c r="AB5" s="26">
        <f>IF('Simulasi Premi 1 (Personal)'!$E$38="Menurun",'Spek Produk'!AB63,'Spek Produk'!AB121)</f>
        <v>0</v>
      </c>
      <c r="AC5" s="26">
        <f>IF('Simulasi Premi 1 (Personal)'!$E$38="Menurun",'Spek Produk'!AC63,'Spek Produk'!AC121)</f>
        <v>0</v>
      </c>
      <c r="AD5" s="26">
        <f>IF('Simulasi Premi 1 (Personal)'!$E$38="Menurun",'Spek Produk'!AD63,'Spek Produk'!AD121)</f>
        <v>0</v>
      </c>
      <c r="AE5" s="26">
        <f>IF('Simulasi Premi 1 (Personal)'!$E$38="Menurun",'Spek Produk'!AE63,'Spek Produk'!AE121)</f>
        <v>0</v>
      </c>
      <c r="AF5" s="26">
        <f>IF('Simulasi Premi 1 (Personal)'!$E$38="Menurun",'Spek Produk'!AF63,'Spek Produk'!AF121)</f>
        <v>0</v>
      </c>
      <c r="AG5" s="26">
        <f>IF('Simulasi Premi 1 (Personal)'!$E$38="Menurun",'Spek Produk'!AG63,'Spek Produk'!AG121)</f>
        <v>0</v>
      </c>
      <c r="AH5" s="26">
        <f>IF('Simulasi Premi 1 (Personal)'!$E$38="Menurun",'Spek Produk'!AH63,'Spek Produk'!AH121)</f>
        <v>0</v>
      </c>
      <c r="AI5" s="26">
        <f>IF('Simulasi Premi 1 (Personal)'!$E$38="Menurun",'Spek Produk'!AI63,'Spek Produk'!AI121)</f>
        <v>0</v>
      </c>
      <c r="AJ5" s="26">
        <f>IF('Simulasi Premi 1 (Personal)'!$E$38="Menurun",'Spek Produk'!AJ63,'Spek Produk'!AJ121)</f>
        <v>0</v>
      </c>
      <c r="AK5" s="26">
        <f>IF('Simulasi Premi 1 (Personal)'!$E$38="Menurun",'Spek Produk'!AK63,'Spek Produk'!AK121)</f>
        <v>0</v>
      </c>
      <c r="AL5" s="26">
        <f>IF('Simulasi Premi 1 (Personal)'!$E$38="Menurun",'Spek Produk'!AL63,'Spek Produk'!AL121)</f>
        <v>0</v>
      </c>
      <c r="AM5" s="26">
        <f>IF('Simulasi Premi 1 (Personal)'!$E$38="Menurun",'Spek Produk'!AM63,'Spek Produk'!AM121)</f>
        <v>0</v>
      </c>
      <c r="AN5" s="26">
        <f>IF('Simulasi Premi 1 (Personal)'!$E$38="Menurun",'Spek Produk'!AN63,'Spek Produk'!AN121)</f>
        <v>0</v>
      </c>
      <c r="AO5" s="26">
        <f>IF('Simulasi Premi 1 (Personal)'!$E$38="Menurun",'Spek Produk'!AO63,'Spek Produk'!AO121)</f>
        <v>0</v>
      </c>
      <c r="AP5" s="26">
        <f>IF('Simulasi Premi 1 (Personal)'!$E$38="Menurun",'Spek Produk'!AP63,'Spek Produk'!AP121)</f>
        <v>0</v>
      </c>
      <c r="AR5" s="28">
        <f>AR4+1</f>
        <v>2</v>
      </c>
      <c r="AS5" s="27">
        <v>0.3</v>
      </c>
    </row>
    <row r="6" spans="2:45" x14ac:dyDescent="0.35">
      <c r="B6" s="7"/>
      <c r="C6" s="9" t="s">
        <v>35</v>
      </c>
      <c r="D6" s="9"/>
      <c r="E6" s="11" t="s">
        <v>24</v>
      </c>
      <c r="F6" s="138" t="str">
        <f>IF('Simulasi Premi 1 (Personal)'!$E$38="Menurun",'Spek Produk'!F18,'Spek Produk'!F30)</f>
        <v>Bancassurance</v>
      </c>
      <c r="G6" s="139"/>
      <c r="H6" s="139"/>
      <c r="I6" s="140"/>
      <c r="J6" s="10"/>
      <c r="L6" s="24" t="str">
        <f t="shared" ref="L6:L58" si="0">IF(AND(ROW(K6)+12&gt;=$G$11,ROW(K6)+12&lt;=$I$11),ROW(K6)+12,"")</f>
        <v/>
      </c>
      <c r="M6" s="26">
        <f>IF('Simulasi Premi 1 (Personal)'!$E$38="Menurun",'Spek Produk'!M64,'Spek Produk'!M122)</f>
        <v>0</v>
      </c>
      <c r="N6" s="26">
        <f>IF('Simulasi Premi 1 (Personal)'!$E$38="Menurun",'Spek Produk'!N64,'Spek Produk'!N122)</f>
        <v>0</v>
      </c>
      <c r="O6" s="26">
        <f>IF('Simulasi Premi 1 (Personal)'!$E$38="Menurun",'Spek Produk'!O64,'Spek Produk'!O122)</f>
        <v>0</v>
      </c>
      <c r="P6" s="26">
        <f>IF('Simulasi Premi 1 (Personal)'!$E$38="Menurun",'Spek Produk'!P64,'Spek Produk'!P122)</f>
        <v>0</v>
      </c>
      <c r="Q6" s="26">
        <f>IF('Simulasi Premi 1 (Personal)'!$E$38="Menurun",'Spek Produk'!Q64,'Spek Produk'!Q122)</f>
        <v>0</v>
      </c>
      <c r="R6" s="26">
        <f>IF('Simulasi Premi 1 (Personal)'!$E$38="Menurun",'Spek Produk'!R64,'Spek Produk'!R122)</f>
        <v>0</v>
      </c>
      <c r="S6" s="26">
        <f>IF('Simulasi Premi 1 (Personal)'!$E$38="Menurun",'Spek Produk'!S64,'Spek Produk'!S122)</f>
        <v>0</v>
      </c>
      <c r="T6" s="26">
        <f>IF('Simulasi Premi 1 (Personal)'!$E$38="Menurun",'Spek Produk'!T64,'Spek Produk'!T122)</f>
        <v>0</v>
      </c>
      <c r="U6" s="26">
        <f>IF('Simulasi Premi 1 (Personal)'!$E$38="Menurun",'Spek Produk'!U64,'Spek Produk'!U122)</f>
        <v>0</v>
      </c>
      <c r="V6" s="26">
        <f>IF('Simulasi Premi 1 (Personal)'!$E$38="Menurun",'Spek Produk'!V64,'Spek Produk'!V122)</f>
        <v>0</v>
      </c>
      <c r="W6" s="26">
        <f>IF('Simulasi Premi 1 (Personal)'!$E$38="Menurun",'Spek Produk'!W64,'Spek Produk'!W122)</f>
        <v>0</v>
      </c>
      <c r="X6" s="26">
        <f>IF('Simulasi Premi 1 (Personal)'!$E$38="Menurun",'Spek Produk'!X64,'Spek Produk'!X122)</f>
        <v>0</v>
      </c>
      <c r="Y6" s="26">
        <f>IF('Simulasi Premi 1 (Personal)'!$E$38="Menurun",'Spek Produk'!Y64,'Spek Produk'!Y122)</f>
        <v>0</v>
      </c>
      <c r="Z6" s="26">
        <f>IF('Simulasi Premi 1 (Personal)'!$E$38="Menurun",'Spek Produk'!Z64,'Spek Produk'!Z122)</f>
        <v>0</v>
      </c>
      <c r="AA6" s="26">
        <f>IF('Simulasi Premi 1 (Personal)'!$E$38="Menurun",'Spek Produk'!AA64,'Spek Produk'!AA122)</f>
        <v>0</v>
      </c>
      <c r="AB6" s="26">
        <f>IF('Simulasi Premi 1 (Personal)'!$E$38="Menurun",'Spek Produk'!AB64,'Spek Produk'!AB122)</f>
        <v>0</v>
      </c>
      <c r="AC6" s="26">
        <f>IF('Simulasi Premi 1 (Personal)'!$E$38="Menurun",'Spek Produk'!AC64,'Spek Produk'!AC122)</f>
        <v>0</v>
      </c>
      <c r="AD6" s="26">
        <f>IF('Simulasi Premi 1 (Personal)'!$E$38="Menurun",'Spek Produk'!AD64,'Spek Produk'!AD122)</f>
        <v>0</v>
      </c>
      <c r="AE6" s="26">
        <f>IF('Simulasi Premi 1 (Personal)'!$E$38="Menurun",'Spek Produk'!AE64,'Spek Produk'!AE122)</f>
        <v>0</v>
      </c>
      <c r="AF6" s="26">
        <f>IF('Simulasi Premi 1 (Personal)'!$E$38="Menurun",'Spek Produk'!AF64,'Spek Produk'!AF122)</f>
        <v>0</v>
      </c>
      <c r="AG6" s="26">
        <f>IF('Simulasi Premi 1 (Personal)'!$E$38="Menurun",'Spek Produk'!AG64,'Spek Produk'!AG122)</f>
        <v>0</v>
      </c>
      <c r="AH6" s="26">
        <f>IF('Simulasi Premi 1 (Personal)'!$E$38="Menurun",'Spek Produk'!AH64,'Spek Produk'!AH122)</f>
        <v>0</v>
      </c>
      <c r="AI6" s="26">
        <f>IF('Simulasi Premi 1 (Personal)'!$E$38="Menurun",'Spek Produk'!AI64,'Spek Produk'!AI122)</f>
        <v>0</v>
      </c>
      <c r="AJ6" s="26">
        <f>IF('Simulasi Premi 1 (Personal)'!$E$38="Menurun",'Spek Produk'!AJ64,'Spek Produk'!AJ122)</f>
        <v>0</v>
      </c>
      <c r="AK6" s="26">
        <f>IF('Simulasi Premi 1 (Personal)'!$E$38="Menurun",'Spek Produk'!AK64,'Spek Produk'!AK122)</f>
        <v>0</v>
      </c>
      <c r="AL6" s="26">
        <f>IF('Simulasi Premi 1 (Personal)'!$E$38="Menurun",'Spek Produk'!AL64,'Spek Produk'!AL122)</f>
        <v>0</v>
      </c>
      <c r="AM6" s="26">
        <f>IF('Simulasi Premi 1 (Personal)'!$E$38="Menurun",'Spek Produk'!AM64,'Spek Produk'!AM122)</f>
        <v>0</v>
      </c>
      <c r="AN6" s="26">
        <f>IF('Simulasi Premi 1 (Personal)'!$E$38="Menurun",'Spek Produk'!AN64,'Spek Produk'!AN122)</f>
        <v>0</v>
      </c>
      <c r="AO6" s="26">
        <f>IF('Simulasi Premi 1 (Personal)'!$E$38="Menurun",'Spek Produk'!AO64,'Spek Produk'!AO122)</f>
        <v>0</v>
      </c>
      <c r="AP6" s="26">
        <f>IF('Simulasi Premi 1 (Personal)'!$E$38="Menurun",'Spek Produk'!AP64,'Spek Produk'!AP122)</f>
        <v>0</v>
      </c>
      <c r="AR6" s="28">
        <f t="shared" ref="AR6:AR15" si="1">AR5+1</f>
        <v>3</v>
      </c>
      <c r="AS6" s="27">
        <v>0.4</v>
      </c>
    </row>
    <row r="7" spans="2:45" x14ac:dyDescent="0.35">
      <c r="B7" s="7"/>
      <c r="C7" s="9" t="s">
        <v>36</v>
      </c>
      <c r="D7" s="9"/>
      <c r="E7" s="11" t="s">
        <v>24</v>
      </c>
      <c r="F7" s="138" t="str">
        <f>IF('Simulasi Premi 1 (Personal)'!$E$38="Menurun",'Spek Produk'!F19,'Spek Produk'!F31)</f>
        <v>BPR Palu Anugerah</v>
      </c>
      <c r="G7" s="139"/>
      <c r="H7" s="139"/>
      <c r="I7" s="140"/>
      <c r="J7" s="10"/>
      <c r="L7" s="24" t="str">
        <f t="shared" si="0"/>
        <v/>
      </c>
      <c r="M7" s="26">
        <f>IF('Simulasi Premi 1 (Personal)'!$E$38="Menurun",'Spek Produk'!M65,'Spek Produk'!M123)</f>
        <v>0</v>
      </c>
      <c r="N7" s="26">
        <f>IF('Simulasi Premi 1 (Personal)'!$E$38="Menurun",'Spek Produk'!N65,'Spek Produk'!N123)</f>
        <v>0</v>
      </c>
      <c r="O7" s="26">
        <f>IF('Simulasi Premi 1 (Personal)'!$E$38="Menurun",'Spek Produk'!O65,'Spek Produk'!O123)</f>
        <v>0</v>
      </c>
      <c r="P7" s="26">
        <f>IF('Simulasi Premi 1 (Personal)'!$E$38="Menurun",'Spek Produk'!P65,'Spek Produk'!P123)</f>
        <v>0</v>
      </c>
      <c r="Q7" s="26">
        <f>IF('Simulasi Premi 1 (Personal)'!$E$38="Menurun",'Spek Produk'!Q65,'Spek Produk'!Q123)</f>
        <v>0</v>
      </c>
      <c r="R7" s="26">
        <f>IF('Simulasi Premi 1 (Personal)'!$E$38="Menurun",'Spek Produk'!R65,'Spek Produk'!R123)</f>
        <v>0</v>
      </c>
      <c r="S7" s="26">
        <f>IF('Simulasi Premi 1 (Personal)'!$E$38="Menurun",'Spek Produk'!S65,'Spek Produk'!S123)</f>
        <v>0</v>
      </c>
      <c r="T7" s="26">
        <f>IF('Simulasi Premi 1 (Personal)'!$E$38="Menurun",'Spek Produk'!T65,'Spek Produk'!T123)</f>
        <v>0</v>
      </c>
      <c r="U7" s="26">
        <f>IF('Simulasi Premi 1 (Personal)'!$E$38="Menurun",'Spek Produk'!U65,'Spek Produk'!U123)</f>
        <v>0</v>
      </c>
      <c r="V7" s="26">
        <f>IF('Simulasi Premi 1 (Personal)'!$E$38="Menurun",'Spek Produk'!V65,'Spek Produk'!V123)</f>
        <v>0</v>
      </c>
      <c r="W7" s="26">
        <f>IF('Simulasi Premi 1 (Personal)'!$E$38="Menurun",'Spek Produk'!W65,'Spek Produk'!W123)</f>
        <v>0</v>
      </c>
      <c r="X7" s="26">
        <f>IF('Simulasi Premi 1 (Personal)'!$E$38="Menurun",'Spek Produk'!X65,'Spek Produk'!X123)</f>
        <v>0</v>
      </c>
      <c r="Y7" s="26">
        <f>IF('Simulasi Premi 1 (Personal)'!$E$38="Menurun",'Spek Produk'!Y65,'Spek Produk'!Y123)</f>
        <v>0</v>
      </c>
      <c r="Z7" s="26">
        <f>IF('Simulasi Premi 1 (Personal)'!$E$38="Menurun",'Spek Produk'!Z65,'Spek Produk'!Z123)</f>
        <v>0</v>
      </c>
      <c r="AA7" s="26">
        <f>IF('Simulasi Premi 1 (Personal)'!$E$38="Menurun",'Spek Produk'!AA65,'Spek Produk'!AA123)</f>
        <v>0</v>
      </c>
      <c r="AB7" s="26">
        <f>IF('Simulasi Premi 1 (Personal)'!$E$38="Menurun",'Spek Produk'!AB65,'Spek Produk'!AB123)</f>
        <v>0</v>
      </c>
      <c r="AC7" s="26">
        <f>IF('Simulasi Premi 1 (Personal)'!$E$38="Menurun",'Spek Produk'!AC65,'Spek Produk'!AC123)</f>
        <v>0</v>
      </c>
      <c r="AD7" s="26">
        <f>IF('Simulasi Premi 1 (Personal)'!$E$38="Menurun",'Spek Produk'!AD65,'Spek Produk'!AD123)</f>
        <v>0</v>
      </c>
      <c r="AE7" s="26">
        <f>IF('Simulasi Premi 1 (Personal)'!$E$38="Menurun",'Spek Produk'!AE65,'Spek Produk'!AE123)</f>
        <v>0</v>
      </c>
      <c r="AF7" s="26">
        <f>IF('Simulasi Premi 1 (Personal)'!$E$38="Menurun",'Spek Produk'!AF65,'Spek Produk'!AF123)</f>
        <v>0</v>
      </c>
      <c r="AG7" s="26">
        <f>IF('Simulasi Premi 1 (Personal)'!$E$38="Menurun",'Spek Produk'!AG65,'Spek Produk'!AG123)</f>
        <v>0</v>
      </c>
      <c r="AH7" s="26">
        <f>IF('Simulasi Premi 1 (Personal)'!$E$38="Menurun",'Spek Produk'!AH65,'Spek Produk'!AH123)</f>
        <v>0</v>
      </c>
      <c r="AI7" s="26">
        <f>IF('Simulasi Premi 1 (Personal)'!$E$38="Menurun",'Spek Produk'!AI65,'Spek Produk'!AI123)</f>
        <v>0</v>
      </c>
      <c r="AJ7" s="26">
        <f>IF('Simulasi Premi 1 (Personal)'!$E$38="Menurun",'Spek Produk'!AJ65,'Spek Produk'!AJ123)</f>
        <v>0</v>
      </c>
      <c r="AK7" s="26">
        <f>IF('Simulasi Premi 1 (Personal)'!$E$38="Menurun",'Spek Produk'!AK65,'Spek Produk'!AK123)</f>
        <v>0</v>
      </c>
      <c r="AL7" s="26">
        <f>IF('Simulasi Premi 1 (Personal)'!$E$38="Menurun",'Spek Produk'!AL65,'Spek Produk'!AL123)</f>
        <v>0</v>
      </c>
      <c r="AM7" s="26">
        <f>IF('Simulasi Premi 1 (Personal)'!$E$38="Menurun",'Spek Produk'!AM65,'Spek Produk'!AM123)</f>
        <v>0</v>
      </c>
      <c r="AN7" s="26">
        <f>IF('Simulasi Premi 1 (Personal)'!$E$38="Menurun",'Spek Produk'!AN65,'Spek Produk'!AN123)</f>
        <v>0</v>
      </c>
      <c r="AO7" s="26">
        <f>IF('Simulasi Premi 1 (Personal)'!$E$38="Menurun",'Spek Produk'!AO65,'Spek Produk'!AO123)</f>
        <v>0</v>
      </c>
      <c r="AP7" s="26">
        <f>IF('Simulasi Premi 1 (Personal)'!$E$38="Menurun",'Spek Produk'!AP65,'Spek Produk'!AP123)</f>
        <v>0</v>
      </c>
      <c r="AR7" s="28">
        <f t="shared" si="1"/>
        <v>4</v>
      </c>
      <c r="AS7" s="27">
        <v>0.5</v>
      </c>
    </row>
    <row r="8" spans="2:45" x14ac:dyDescent="0.35">
      <c r="B8" s="7"/>
      <c r="C8" s="9" t="s">
        <v>37</v>
      </c>
      <c r="D8" s="9"/>
      <c r="E8" s="11" t="s">
        <v>24</v>
      </c>
      <c r="F8" s="141">
        <f>IF('Simulasi Premi 1 (Personal)'!$E$38="Menurun",'Spek Produk'!F20,'Spek Produk'!F32)</f>
        <v>1000000000</v>
      </c>
      <c r="G8" s="142"/>
      <c r="H8" s="142"/>
      <c r="I8" s="143"/>
      <c r="J8" s="10"/>
      <c r="L8" s="24">
        <f t="shared" si="0"/>
        <v>20</v>
      </c>
      <c r="M8" s="26">
        <f>IF('Simulasi Premi 1 (Personal)'!$E$38="Menurun",'Spek Produk'!M66,'Spek Produk'!M124)</f>
        <v>6.85</v>
      </c>
      <c r="N8" s="26">
        <f>IF('Simulasi Premi 1 (Personal)'!$E$38="Menurun",'Spek Produk'!N66,'Spek Produk'!N124)</f>
        <v>11.62</v>
      </c>
      <c r="O8" s="26">
        <f>IF('Simulasi Premi 1 (Personal)'!$E$38="Menurun",'Spek Produk'!O66,'Spek Produk'!O124)</f>
        <v>16.77</v>
      </c>
      <c r="P8" s="26">
        <f>IF('Simulasi Premi 1 (Personal)'!$E$38="Menurun",'Spek Produk'!P66,'Spek Produk'!P124)</f>
        <v>22.28</v>
      </c>
      <c r="Q8" s="26">
        <f>IF('Simulasi Premi 1 (Personal)'!$E$38="Menurun",'Spek Produk'!Q66,'Spek Produk'!Q124)</f>
        <v>28.12</v>
      </c>
      <c r="R8" s="26">
        <f>IF('Simulasi Premi 1 (Personal)'!$E$38="Menurun",'Spek Produk'!R66,'Spek Produk'!R124)</f>
        <v>34.26</v>
      </c>
      <c r="S8" s="26">
        <f>IF('Simulasi Premi 1 (Personal)'!$E$38="Menurun",'Spek Produk'!S66,'Spek Produk'!S124)</f>
        <v>40.68</v>
      </c>
      <c r="T8" s="26">
        <f>IF('Simulasi Premi 1 (Personal)'!$E$38="Menurun",'Spek Produk'!T66,'Spek Produk'!T124)</f>
        <v>47.4</v>
      </c>
      <c r="U8" s="26">
        <f>IF('Simulasi Premi 1 (Personal)'!$E$38="Menurun",'Spek Produk'!U66,'Spek Produk'!U124)</f>
        <v>54.4</v>
      </c>
      <c r="V8" s="26">
        <f>IF('Simulasi Premi 1 (Personal)'!$E$38="Menurun",'Spek Produk'!V66,'Spek Produk'!V124)</f>
        <v>61.68</v>
      </c>
      <c r="W8" s="26">
        <f>IF('Simulasi Premi 1 (Personal)'!$E$38="Menurun",'Spek Produk'!W66,'Spek Produk'!W124)</f>
        <v>66.66</v>
      </c>
      <c r="X8" s="26">
        <f>IF('Simulasi Premi 1 (Personal)'!$E$38="Menurun",'Spek Produk'!X66,'Spek Produk'!X124)</f>
        <v>71.64</v>
      </c>
      <c r="Y8" s="26">
        <f>IF('Simulasi Premi 1 (Personal)'!$E$38="Menurun",'Spek Produk'!Y66,'Spek Produk'!Y124)</f>
        <v>76.62</v>
      </c>
      <c r="Z8" s="26">
        <f>IF('Simulasi Premi 1 (Personal)'!$E$38="Menurun",'Spek Produk'!Z66,'Spek Produk'!Z124)</f>
        <v>81.599999999999994</v>
      </c>
      <c r="AA8" s="26">
        <f>IF('Simulasi Premi 1 (Personal)'!$E$38="Menurun",'Spek Produk'!AA66,'Spek Produk'!AA124)</f>
        <v>86.57</v>
      </c>
      <c r="AB8" s="26">
        <f>IF('Simulasi Premi 1 (Personal)'!$E$38="Menurun",'Spek Produk'!AB66,'Spek Produk'!AB124)</f>
        <v>90.23</v>
      </c>
      <c r="AC8" s="26">
        <f>IF('Simulasi Premi 1 (Personal)'!$E$38="Menurun",'Spek Produk'!AC66,'Spek Produk'!AC124)</f>
        <v>93.89</v>
      </c>
      <c r="AD8" s="26">
        <f>IF('Simulasi Premi 1 (Personal)'!$E$38="Menurun",'Spek Produk'!AD66,'Spek Produk'!AD124)</f>
        <v>97.55</v>
      </c>
      <c r="AE8" s="26">
        <f>IF('Simulasi Premi 1 (Personal)'!$E$38="Menurun",'Spek Produk'!AE66,'Spek Produk'!AE124)</f>
        <v>101.21</v>
      </c>
      <c r="AF8" s="26">
        <f>IF('Simulasi Premi 1 (Personal)'!$E$38="Menurun",'Spek Produk'!AF66,'Spek Produk'!AF124)</f>
        <v>104.89</v>
      </c>
      <c r="AG8" s="26">
        <f>IF('Simulasi Premi 1 (Personal)'!$E$38="Menurun",'Spek Produk'!AG66,'Spek Produk'!AG124)</f>
        <v>0</v>
      </c>
      <c r="AH8" s="26">
        <f>IF('Simulasi Premi 1 (Personal)'!$E$38="Menurun",'Spek Produk'!AH66,'Spek Produk'!AH124)</f>
        <v>0</v>
      </c>
      <c r="AI8" s="26">
        <f>IF('Simulasi Premi 1 (Personal)'!$E$38="Menurun",'Spek Produk'!AI66,'Spek Produk'!AI124)</f>
        <v>0</v>
      </c>
      <c r="AJ8" s="26">
        <f>IF('Simulasi Premi 1 (Personal)'!$E$38="Menurun",'Spek Produk'!AJ66,'Spek Produk'!AJ124)</f>
        <v>0</v>
      </c>
      <c r="AK8" s="26">
        <f>IF('Simulasi Premi 1 (Personal)'!$E$38="Menurun",'Spek Produk'!AK66,'Spek Produk'!AK124)</f>
        <v>0</v>
      </c>
      <c r="AL8" s="26">
        <f>IF('Simulasi Premi 1 (Personal)'!$E$38="Menurun",'Spek Produk'!AL66,'Spek Produk'!AL124)</f>
        <v>0</v>
      </c>
      <c r="AM8" s="26">
        <f>IF('Simulasi Premi 1 (Personal)'!$E$38="Menurun",'Spek Produk'!AM66,'Spek Produk'!AM124)</f>
        <v>0</v>
      </c>
      <c r="AN8" s="26">
        <f>IF('Simulasi Premi 1 (Personal)'!$E$38="Menurun",'Spek Produk'!AN66,'Spek Produk'!AN124)</f>
        <v>0</v>
      </c>
      <c r="AO8" s="26">
        <f>IF('Simulasi Premi 1 (Personal)'!$E$38="Menurun",'Spek Produk'!AO66,'Spek Produk'!AO124)</f>
        <v>0</v>
      </c>
      <c r="AP8" s="26">
        <f>IF('Simulasi Premi 1 (Personal)'!$E$38="Menurun",'Spek Produk'!AP66,'Spek Produk'!AP124)</f>
        <v>0</v>
      </c>
      <c r="AR8" s="28">
        <f t="shared" si="1"/>
        <v>5</v>
      </c>
      <c r="AS8" s="27">
        <v>0.6</v>
      </c>
    </row>
    <row r="9" spans="2:45" x14ac:dyDescent="0.35">
      <c r="B9" s="7"/>
      <c r="C9" s="9" t="s">
        <v>89</v>
      </c>
      <c r="D9" s="9"/>
      <c r="E9" s="11" t="s">
        <v>24</v>
      </c>
      <c r="F9" s="138" t="str">
        <f>IF('Simulasi Premi 1 (Personal)'!$E$38="Menurun",'Spek Produk'!F21,'Spek Produk'!F33)</f>
        <v>Konvensional</v>
      </c>
      <c r="G9" s="139"/>
      <c r="H9" s="139"/>
      <c r="I9" s="140"/>
      <c r="J9" s="10"/>
      <c r="L9" s="24">
        <f t="shared" si="0"/>
        <v>21</v>
      </c>
      <c r="M9" s="26">
        <f>IF('Simulasi Premi 1 (Personal)'!$E$38="Menurun",'Spek Produk'!M67,'Spek Produk'!M125)</f>
        <v>6.85</v>
      </c>
      <c r="N9" s="26">
        <f>IF('Simulasi Premi 1 (Personal)'!$E$38="Menurun",'Spek Produk'!N67,'Spek Produk'!N125)</f>
        <v>11.62</v>
      </c>
      <c r="O9" s="26">
        <f>IF('Simulasi Premi 1 (Personal)'!$E$38="Menurun",'Spek Produk'!O67,'Spek Produk'!O125)</f>
        <v>16.77</v>
      </c>
      <c r="P9" s="26">
        <f>IF('Simulasi Premi 1 (Personal)'!$E$38="Menurun",'Spek Produk'!P67,'Spek Produk'!P125)</f>
        <v>22.28</v>
      </c>
      <c r="Q9" s="26">
        <f>IF('Simulasi Premi 1 (Personal)'!$E$38="Menurun",'Spek Produk'!Q67,'Spek Produk'!Q125)</f>
        <v>28.12</v>
      </c>
      <c r="R9" s="26">
        <f>IF('Simulasi Premi 1 (Personal)'!$E$38="Menurun",'Spek Produk'!R67,'Spek Produk'!R125)</f>
        <v>34.26</v>
      </c>
      <c r="S9" s="26">
        <f>IF('Simulasi Premi 1 (Personal)'!$E$38="Menurun",'Spek Produk'!S67,'Spek Produk'!S125)</f>
        <v>40.68</v>
      </c>
      <c r="T9" s="26">
        <f>IF('Simulasi Premi 1 (Personal)'!$E$38="Menurun",'Spek Produk'!T67,'Spek Produk'!T125)</f>
        <v>47.4</v>
      </c>
      <c r="U9" s="26">
        <f>IF('Simulasi Premi 1 (Personal)'!$E$38="Menurun",'Spek Produk'!U67,'Spek Produk'!U125)</f>
        <v>54.4</v>
      </c>
      <c r="V9" s="26">
        <f>IF('Simulasi Premi 1 (Personal)'!$E$38="Menurun",'Spek Produk'!V67,'Spek Produk'!V125)</f>
        <v>61.68</v>
      </c>
      <c r="W9" s="26">
        <f>IF('Simulasi Premi 1 (Personal)'!$E$38="Menurun",'Spek Produk'!W67,'Spek Produk'!W125)</f>
        <v>66.66</v>
      </c>
      <c r="X9" s="26">
        <f>IF('Simulasi Premi 1 (Personal)'!$E$38="Menurun",'Spek Produk'!X67,'Spek Produk'!X125)</f>
        <v>71.64</v>
      </c>
      <c r="Y9" s="26">
        <f>IF('Simulasi Premi 1 (Personal)'!$E$38="Menurun",'Spek Produk'!Y67,'Spek Produk'!Y125)</f>
        <v>76.62</v>
      </c>
      <c r="Z9" s="26">
        <f>IF('Simulasi Premi 1 (Personal)'!$E$38="Menurun",'Spek Produk'!Z67,'Spek Produk'!Z125)</f>
        <v>81.599999999999994</v>
      </c>
      <c r="AA9" s="26">
        <f>IF('Simulasi Premi 1 (Personal)'!$E$38="Menurun",'Spek Produk'!AA67,'Spek Produk'!AA125)</f>
        <v>86.57</v>
      </c>
      <c r="AB9" s="26">
        <f>IF('Simulasi Premi 1 (Personal)'!$E$38="Menurun",'Spek Produk'!AB67,'Spek Produk'!AB125)</f>
        <v>90.23</v>
      </c>
      <c r="AC9" s="26">
        <f>IF('Simulasi Premi 1 (Personal)'!$E$38="Menurun",'Spek Produk'!AC67,'Spek Produk'!AC125)</f>
        <v>93.89</v>
      </c>
      <c r="AD9" s="26">
        <f>IF('Simulasi Premi 1 (Personal)'!$E$38="Menurun",'Spek Produk'!AD67,'Spek Produk'!AD125)</f>
        <v>97.55</v>
      </c>
      <c r="AE9" s="26">
        <f>IF('Simulasi Premi 1 (Personal)'!$E$38="Menurun",'Spek Produk'!AE67,'Spek Produk'!AE125)</f>
        <v>101.21</v>
      </c>
      <c r="AF9" s="26">
        <f>IF('Simulasi Premi 1 (Personal)'!$E$38="Menurun",'Spek Produk'!AF67,'Spek Produk'!AF125)</f>
        <v>104.89</v>
      </c>
      <c r="AG9" s="26">
        <f>IF('Simulasi Premi 1 (Personal)'!$E$38="Menurun",'Spek Produk'!AG67,'Spek Produk'!AG125)</f>
        <v>0</v>
      </c>
      <c r="AH9" s="26">
        <f>IF('Simulasi Premi 1 (Personal)'!$E$38="Menurun",'Spek Produk'!AH67,'Spek Produk'!AH125)</f>
        <v>0</v>
      </c>
      <c r="AI9" s="26">
        <f>IF('Simulasi Premi 1 (Personal)'!$E$38="Menurun",'Spek Produk'!AI67,'Spek Produk'!AI125)</f>
        <v>0</v>
      </c>
      <c r="AJ9" s="26">
        <f>IF('Simulasi Premi 1 (Personal)'!$E$38="Menurun",'Spek Produk'!AJ67,'Spek Produk'!AJ125)</f>
        <v>0</v>
      </c>
      <c r="AK9" s="26">
        <f>IF('Simulasi Premi 1 (Personal)'!$E$38="Menurun",'Spek Produk'!AK67,'Spek Produk'!AK125)</f>
        <v>0</v>
      </c>
      <c r="AL9" s="26">
        <f>IF('Simulasi Premi 1 (Personal)'!$E$38="Menurun",'Spek Produk'!AL67,'Spek Produk'!AL125)</f>
        <v>0</v>
      </c>
      <c r="AM9" s="26">
        <f>IF('Simulasi Premi 1 (Personal)'!$E$38="Menurun",'Spek Produk'!AM67,'Spek Produk'!AM125)</f>
        <v>0</v>
      </c>
      <c r="AN9" s="26">
        <f>IF('Simulasi Premi 1 (Personal)'!$E$38="Menurun",'Spek Produk'!AN67,'Spek Produk'!AN125)</f>
        <v>0</v>
      </c>
      <c r="AO9" s="26">
        <f>IF('Simulasi Premi 1 (Personal)'!$E$38="Menurun",'Spek Produk'!AO67,'Spek Produk'!AO125)</f>
        <v>0</v>
      </c>
      <c r="AP9" s="26">
        <f>IF('Simulasi Premi 1 (Personal)'!$E$38="Menurun",'Spek Produk'!AP67,'Spek Produk'!AP125)</f>
        <v>0</v>
      </c>
      <c r="AR9" s="28">
        <f t="shared" si="1"/>
        <v>6</v>
      </c>
      <c r="AS9" s="27">
        <v>0.7</v>
      </c>
    </row>
    <row r="10" spans="2:45" x14ac:dyDescent="0.35">
      <c r="B10" s="7"/>
      <c r="C10" s="12" t="s">
        <v>38</v>
      </c>
      <c r="D10" s="12"/>
      <c r="E10" s="11" t="s">
        <v>24</v>
      </c>
      <c r="F10" s="13" t="s">
        <v>39</v>
      </c>
      <c r="G10" s="14">
        <f>IF('Simulasi Premi 1 (Personal)'!$E$38="Menurun",'Spek Produk'!G22,'Spek Produk'!G34)</f>
        <v>0</v>
      </c>
      <c r="H10" s="13" t="s">
        <v>40</v>
      </c>
      <c r="I10" s="14">
        <f>IF('Simulasi Premi 1 (Personal)'!$E$38="Menurun",'Spek Produk'!I22,'Spek Produk'!I34)</f>
        <v>20</v>
      </c>
      <c r="J10" s="10"/>
      <c r="L10" s="24">
        <f t="shared" si="0"/>
        <v>22</v>
      </c>
      <c r="M10" s="26">
        <f>IF('Simulasi Premi 1 (Personal)'!$E$38="Menurun",'Spek Produk'!M68,'Spek Produk'!M126)</f>
        <v>6.85</v>
      </c>
      <c r="N10" s="26">
        <f>IF('Simulasi Premi 1 (Personal)'!$E$38="Menurun",'Spek Produk'!N68,'Spek Produk'!N126)</f>
        <v>11.62</v>
      </c>
      <c r="O10" s="26">
        <f>IF('Simulasi Premi 1 (Personal)'!$E$38="Menurun",'Spek Produk'!O68,'Spek Produk'!O126)</f>
        <v>16.77</v>
      </c>
      <c r="P10" s="26">
        <f>IF('Simulasi Premi 1 (Personal)'!$E$38="Menurun",'Spek Produk'!P68,'Spek Produk'!P126)</f>
        <v>22.28</v>
      </c>
      <c r="Q10" s="26">
        <f>IF('Simulasi Premi 1 (Personal)'!$E$38="Menurun",'Spek Produk'!Q68,'Spek Produk'!Q126)</f>
        <v>28.12</v>
      </c>
      <c r="R10" s="26">
        <f>IF('Simulasi Premi 1 (Personal)'!$E$38="Menurun",'Spek Produk'!R68,'Spek Produk'!R126)</f>
        <v>34.26</v>
      </c>
      <c r="S10" s="26">
        <f>IF('Simulasi Premi 1 (Personal)'!$E$38="Menurun",'Spek Produk'!S68,'Spek Produk'!S126)</f>
        <v>40.68</v>
      </c>
      <c r="T10" s="26">
        <f>IF('Simulasi Premi 1 (Personal)'!$E$38="Menurun",'Spek Produk'!T68,'Spek Produk'!T126)</f>
        <v>47.4</v>
      </c>
      <c r="U10" s="26">
        <f>IF('Simulasi Premi 1 (Personal)'!$E$38="Menurun",'Spek Produk'!U68,'Spek Produk'!U126)</f>
        <v>54.4</v>
      </c>
      <c r="V10" s="26">
        <f>IF('Simulasi Premi 1 (Personal)'!$E$38="Menurun",'Spek Produk'!V68,'Spek Produk'!V126)</f>
        <v>61.68</v>
      </c>
      <c r="W10" s="26">
        <f>IF('Simulasi Premi 1 (Personal)'!$E$38="Menurun",'Spek Produk'!W68,'Spek Produk'!W126)</f>
        <v>66.66</v>
      </c>
      <c r="X10" s="26">
        <f>IF('Simulasi Premi 1 (Personal)'!$E$38="Menurun",'Spek Produk'!X68,'Spek Produk'!X126)</f>
        <v>71.64</v>
      </c>
      <c r="Y10" s="26">
        <f>IF('Simulasi Premi 1 (Personal)'!$E$38="Menurun",'Spek Produk'!Y68,'Spek Produk'!Y126)</f>
        <v>76.62</v>
      </c>
      <c r="Z10" s="26">
        <f>IF('Simulasi Premi 1 (Personal)'!$E$38="Menurun",'Spek Produk'!Z68,'Spek Produk'!Z126)</f>
        <v>81.599999999999994</v>
      </c>
      <c r="AA10" s="26">
        <f>IF('Simulasi Premi 1 (Personal)'!$E$38="Menurun",'Spek Produk'!AA68,'Spek Produk'!AA126)</f>
        <v>86.57</v>
      </c>
      <c r="AB10" s="26">
        <f>IF('Simulasi Premi 1 (Personal)'!$E$38="Menurun",'Spek Produk'!AB68,'Spek Produk'!AB126)</f>
        <v>90.23</v>
      </c>
      <c r="AC10" s="26">
        <f>IF('Simulasi Premi 1 (Personal)'!$E$38="Menurun",'Spek Produk'!AC68,'Spek Produk'!AC126)</f>
        <v>93.89</v>
      </c>
      <c r="AD10" s="26">
        <f>IF('Simulasi Premi 1 (Personal)'!$E$38="Menurun",'Spek Produk'!AD68,'Spek Produk'!AD126)</f>
        <v>97.55</v>
      </c>
      <c r="AE10" s="26">
        <f>IF('Simulasi Premi 1 (Personal)'!$E$38="Menurun",'Spek Produk'!AE68,'Spek Produk'!AE126)</f>
        <v>101.21</v>
      </c>
      <c r="AF10" s="26">
        <f>IF('Simulasi Premi 1 (Personal)'!$E$38="Menurun",'Spek Produk'!AF68,'Spek Produk'!AF126)</f>
        <v>104.89</v>
      </c>
      <c r="AG10" s="26">
        <f>IF('Simulasi Premi 1 (Personal)'!$E$38="Menurun",'Spek Produk'!AG68,'Spek Produk'!AG126)</f>
        <v>0</v>
      </c>
      <c r="AH10" s="26">
        <f>IF('Simulasi Premi 1 (Personal)'!$E$38="Menurun",'Spek Produk'!AH68,'Spek Produk'!AH126)</f>
        <v>0</v>
      </c>
      <c r="AI10" s="26">
        <f>IF('Simulasi Premi 1 (Personal)'!$E$38="Menurun",'Spek Produk'!AI68,'Spek Produk'!AI126)</f>
        <v>0</v>
      </c>
      <c r="AJ10" s="26">
        <f>IF('Simulasi Premi 1 (Personal)'!$E$38="Menurun",'Spek Produk'!AJ68,'Spek Produk'!AJ126)</f>
        <v>0</v>
      </c>
      <c r="AK10" s="26">
        <f>IF('Simulasi Premi 1 (Personal)'!$E$38="Menurun",'Spek Produk'!AK68,'Spek Produk'!AK126)</f>
        <v>0</v>
      </c>
      <c r="AL10" s="26">
        <f>IF('Simulasi Premi 1 (Personal)'!$E$38="Menurun",'Spek Produk'!AL68,'Spek Produk'!AL126)</f>
        <v>0</v>
      </c>
      <c r="AM10" s="26">
        <f>IF('Simulasi Premi 1 (Personal)'!$E$38="Menurun",'Spek Produk'!AM68,'Spek Produk'!AM126)</f>
        <v>0</v>
      </c>
      <c r="AN10" s="26">
        <f>IF('Simulasi Premi 1 (Personal)'!$E$38="Menurun",'Spek Produk'!AN68,'Spek Produk'!AN126)</f>
        <v>0</v>
      </c>
      <c r="AO10" s="26">
        <f>IF('Simulasi Premi 1 (Personal)'!$E$38="Menurun",'Spek Produk'!AO68,'Spek Produk'!AO126)</f>
        <v>0</v>
      </c>
      <c r="AP10" s="26">
        <f>IF('Simulasi Premi 1 (Personal)'!$E$38="Menurun",'Spek Produk'!AP68,'Spek Produk'!AP126)</f>
        <v>0</v>
      </c>
      <c r="AR10" s="28">
        <f t="shared" si="1"/>
        <v>7</v>
      </c>
      <c r="AS10" s="27">
        <v>0.75</v>
      </c>
    </row>
    <row r="11" spans="2:45" x14ac:dyDescent="0.35">
      <c r="B11" s="7"/>
      <c r="C11" s="12" t="s">
        <v>41</v>
      </c>
      <c r="D11" s="12"/>
      <c r="E11" s="11" t="s">
        <v>24</v>
      </c>
      <c r="F11" s="13" t="s">
        <v>39</v>
      </c>
      <c r="G11" s="14">
        <f>IF('Simulasi Premi 1 (Personal)'!$E$38="Menurun",'Spek Produk'!G23,'Spek Produk'!G35)</f>
        <v>20</v>
      </c>
      <c r="H11" s="13" t="s">
        <v>40</v>
      </c>
      <c r="I11" s="14">
        <f>IF('Simulasi Premi 1 (Personal)'!$E$38="Menurun",'Spek Produk'!I23,'Spek Produk'!I35)</f>
        <v>60</v>
      </c>
      <c r="J11" s="10"/>
      <c r="L11" s="24">
        <f t="shared" si="0"/>
        <v>23</v>
      </c>
      <c r="M11" s="26">
        <f>IF('Simulasi Premi 1 (Personal)'!$E$38="Menurun",'Spek Produk'!M69,'Spek Produk'!M127)</f>
        <v>6.85</v>
      </c>
      <c r="N11" s="26">
        <f>IF('Simulasi Premi 1 (Personal)'!$E$38="Menurun",'Spek Produk'!N69,'Spek Produk'!N127)</f>
        <v>11.62</v>
      </c>
      <c r="O11" s="26">
        <f>IF('Simulasi Premi 1 (Personal)'!$E$38="Menurun",'Spek Produk'!O69,'Spek Produk'!O127)</f>
        <v>16.77</v>
      </c>
      <c r="P11" s="26">
        <f>IF('Simulasi Premi 1 (Personal)'!$E$38="Menurun",'Spek Produk'!P69,'Spek Produk'!P127)</f>
        <v>22.28</v>
      </c>
      <c r="Q11" s="26">
        <f>IF('Simulasi Premi 1 (Personal)'!$E$38="Menurun",'Spek Produk'!Q69,'Spek Produk'!Q127)</f>
        <v>28.12</v>
      </c>
      <c r="R11" s="26">
        <f>IF('Simulasi Premi 1 (Personal)'!$E$38="Menurun",'Spek Produk'!R69,'Spek Produk'!R127)</f>
        <v>34.26</v>
      </c>
      <c r="S11" s="26">
        <f>IF('Simulasi Premi 1 (Personal)'!$E$38="Menurun",'Spek Produk'!S69,'Spek Produk'!S127)</f>
        <v>40.68</v>
      </c>
      <c r="T11" s="26">
        <f>IF('Simulasi Premi 1 (Personal)'!$E$38="Menurun",'Spek Produk'!T69,'Spek Produk'!T127)</f>
        <v>47.4</v>
      </c>
      <c r="U11" s="26">
        <f>IF('Simulasi Premi 1 (Personal)'!$E$38="Menurun",'Spek Produk'!U69,'Spek Produk'!U127)</f>
        <v>54.4</v>
      </c>
      <c r="V11" s="26">
        <f>IF('Simulasi Premi 1 (Personal)'!$E$38="Menurun",'Spek Produk'!V69,'Spek Produk'!V127)</f>
        <v>61.68</v>
      </c>
      <c r="W11" s="26">
        <f>IF('Simulasi Premi 1 (Personal)'!$E$38="Menurun",'Spek Produk'!W69,'Spek Produk'!W127)</f>
        <v>66.66</v>
      </c>
      <c r="X11" s="26">
        <f>IF('Simulasi Premi 1 (Personal)'!$E$38="Menurun",'Spek Produk'!X69,'Spek Produk'!X127)</f>
        <v>71.64</v>
      </c>
      <c r="Y11" s="26">
        <f>IF('Simulasi Premi 1 (Personal)'!$E$38="Menurun",'Spek Produk'!Y69,'Spek Produk'!Y127)</f>
        <v>76.62</v>
      </c>
      <c r="Z11" s="26">
        <f>IF('Simulasi Premi 1 (Personal)'!$E$38="Menurun",'Spek Produk'!Z69,'Spek Produk'!Z127)</f>
        <v>81.599999999999994</v>
      </c>
      <c r="AA11" s="26">
        <f>IF('Simulasi Premi 1 (Personal)'!$E$38="Menurun",'Spek Produk'!AA69,'Spek Produk'!AA127)</f>
        <v>86.57</v>
      </c>
      <c r="AB11" s="26">
        <f>IF('Simulasi Premi 1 (Personal)'!$E$38="Menurun",'Spek Produk'!AB69,'Spek Produk'!AB127)</f>
        <v>90.23</v>
      </c>
      <c r="AC11" s="26">
        <f>IF('Simulasi Premi 1 (Personal)'!$E$38="Menurun",'Spek Produk'!AC69,'Spek Produk'!AC127)</f>
        <v>93.89</v>
      </c>
      <c r="AD11" s="26">
        <f>IF('Simulasi Premi 1 (Personal)'!$E$38="Menurun",'Spek Produk'!AD69,'Spek Produk'!AD127)</f>
        <v>97.55</v>
      </c>
      <c r="AE11" s="26">
        <f>IF('Simulasi Premi 1 (Personal)'!$E$38="Menurun",'Spek Produk'!AE69,'Spek Produk'!AE127)</f>
        <v>101.21</v>
      </c>
      <c r="AF11" s="26">
        <f>IF('Simulasi Premi 1 (Personal)'!$E$38="Menurun",'Spek Produk'!AF69,'Spek Produk'!AF127)</f>
        <v>104.89</v>
      </c>
      <c r="AG11" s="26">
        <f>IF('Simulasi Premi 1 (Personal)'!$E$38="Menurun",'Spek Produk'!AG69,'Spek Produk'!AG127)</f>
        <v>0</v>
      </c>
      <c r="AH11" s="26">
        <f>IF('Simulasi Premi 1 (Personal)'!$E$38="Menurun",'Spek Produk'!AH69,'Spek Produk'!AH127)</f>
        <v>0</v>
      </c>
      <c r="AI11" s="26">
        <f>IF('Simulasi Premi 1 (Personal)'!$E$38="Menurun",'Spek Produk'!AI69,'Spek Produk'!AI127)</f>
        <v>0</v>
      </c>
      <c r="AJ11" s="26">
        <f>IF('Simulasi Premi 1 (Personal)'!$E$38="Menurun",'Spek Produk'!AJ69,'Spek Produk'!AJ127)</f>
        <v>0</v>
      </c>
      <c r="AK11" s="26">
        <f>IF('Simulasi Premi 1 (Personal)'!$E$38="Menurun",'Spek Produk'!AK69,'Spek Produk'!AK127)</f>
        <v>0</v>
      </c>
      <c r="AL11" s="26">
        <f>IF('Simulasi Premi 1 (Personal)'!$E$38="Menurun",'Spek Produk'!AL69,'Spek Produk'!AL127)</f>
        <v>0</v>
      </c>
      <c r="AM11" s="26">
        <f>IF('Simulasi Premi 1 (Personal)'!$E$38="Menurun",'Spek Produk'!AM69,'Spek Produk'!AM127)</f>
        <v>0</v>
      </c>
      <c r="AN11" s="26">
        <f>IF('Simulasi Premi 1 (Personal)'!$E$38="Menurun",'Spek Produk'!AN69,'Spek Produk'!AN127)</f>
        <v>0</v>
      </c>
      <c r="AO11" s="26">
        <f>IF('Simulasi Premi 1 (Personal)'!$E$38="Menurun",'Spek Produk'!AO69,'Spek Produk'!AO127)</f>
        <v>0</v>
      </c>
      <c r="AP11" s="26">
        <f>IF('Simulasi Premi 1 (Personal)'!$E$38="Menurun",'Spek Produk'!AP69,'Spek Produk'!AP127)</f>
        <v>0</v>
      </c>
      <c r="AR11" s="28">
        <f t="shared" si="1"/>
        <v>8</v>
      </c>
      <c r="AS11" s="27">
        <v>0.875</v>
      </c>
    </row>
    <row r="12" spans="2:45" x14ac:dyDescent="0.35">
      <c r="B12" s="7"/>
      <c r="C12" s="12" t="s">
        <v>42</v>
      </c>
      <c r="D12" s="12"/>
      <c r="E12" s="11" t="s">
        <v>24</v>
      </c>
      <c r="F12" s="136" t="s">
        <v>43</v>
      </c>
      <c r="G12" s="137"/>
      <c r="H12" s="14">
        <f>IF('Simulasi Premi 1 (Personal)'!$E$38="Menurun",'Spek Produk'!H24,'Spek Produk'!H36)</f>
        <v>70</v>
      </c>
      <c r="I12" s="16"/>
      <c r="J12" s="17"/>
      <c r="L12" s="24">
        <f t="shared" si="0"/>
        <v>24</v>
      </c>
      <c r="M12" s="26">
        <f>IF('Simulasi Premi 1 (Personal)'!$E$38="Menurun",'Spek Produk'!M70,'Spek Produk'!M128)</f>
        <v>6.85</v>
      </c>
      <c r="N12" s="26">
        <f>IF('Simulasi Premi 1 (Personal)'!$E$38="Menurun",'Spek Produk'!N70,'Spek Produk'!N128)</f>
        <v>11.62</v>
      </c>
      <c r="O12" s="26">
        <f>IF('Simulasi Premi 1 (Personal)'!$E$38="Menurun",'Spek Produk'!O70,'Spek Produk'!O128)</f>
        <v>16.77</v>
      </c>
      <c r="P12" s="26">
        <f>IF('Simulasi Premi 1 (Personal)'!$E$38="Menurun",'Spek Produk'!P70,'Spek Produk'!P128)</f>
        <v>22.28</v>
      </c>
      <c r="Q12" s="26">
        <f>IF('Simulasi Premi 1 (Personal)'!$E$38="Menurun",'Spek Produk'!Q70,'Spek Produk'!Q128)</f>
        <v>28.12</v>
      </c>
      <c r="R12" s="26">
        <f>IF('Simulasi Premi 1 (Personal)'!$E$38="Menurun",'Spek Produk'!R70,'Spek Produk'!R128)</f>
        <v>34.26</v>
      </c>
      <c r="S12" s="26">
        <f>IF('Simulasi Premi 1 (Personal)'!$E$38="Menurun",'Spek Produk'!S70,'Spek Produk'!S128)</f>
        <v>40.68</v>
      </c>
      <c r="T12" s="26">
        <f>IF('Simulasi Premi 1 (Personal)'!$E$38="Menurun",'Spek Produk'!T70,'Spek Produk'!T128)</f>
        <v>47.4</v>
      </c>
      <c r="U12" s="26">
        <f>IF('Simulasi Premi 1 (Personal)'!$E$38="Menurun",'Spek Produk'!U70,'Spek Produk'!U128)</f>
        <v>54.4</v>
      </c>
      <c r="V12" s="26">
        <f>IF('Simulasi Premi 1 (Personal)'!$E$38="Menurun",'Spek Produk'!V70,'Spek Produk'!V128)</f>
        <v>61.68</v>
      </c>
      <c r="W12" s="26">
        <f>IF('Simulasi Premi 1 (Personal)'!$E$38="Menurun",'Spek Produk'!W70,'Spek Produk'!W128)</f>
        <v>66.66</v>
      </c>
      <c r="X12" s="26">
        <f>IF('Simulasi Premi 1 (Personal)'!$E$38="Menurun",'Spek Produk'!X70,'Spek Produk'!X128)</f>
        <v>71.64</v>
      </c>
      <c r="Y12" s="26">
        <f>IF('Simulasi Premi 1 (Personal)'!$E$38="Menurun",'Spek Produk'!Y70,'Spek Produk'!Y128)</f>
        <v>76.62</v>
      </c>
      <c r="Z12" s="26">
        <f>IF('Simulasi Premi 1 (Personal)'!$E$38="Menurun",'Spek Produk'!Z70,'Spek Produk'!Z128)</f>
        <v>81.599999999999994</v>
      </c>
      <c r="AA12" s="26">
        <f>IF('Simulasi Premi 1 (Personal)'!$E$38="Menurun",'Spek Produk'!AA70,'Spek Produk'!AA128)</f>
        <v>86.57</v>
      </c>
      <c r="AB12" s="26">
        <f>IF('Simulasi Premi 1 (Personal)'!$E$38="Menurun",'Spek Produk'!AB70,'Spek Produk'!AB128)</f>
        <v>90.23</v>
      </c>
      <c r="AC12" s="26">
        <f>IF('Simulasi Premi 1 (Personal)'!$E$38="Menurun",'Spek Produk'!AC70,'Spek Produk'!AC128)</f>
        <v>93.89</v>
      </c>
      <c r="AD12" s="26">
        <f>IF('Simulasi Premi 1 (Personal)'!$E$38="Menurun",'Spek Produk'!AD70,'Spek Produk'!AD128)</f>
        <v>97.55</v>
      </c>
      <c r="AE12" s="26">
        <f>IF('Simulasi Premi 1 (Personal)'!$E$38="Menurun",'Spek Produk'!AE70,'Spek Produk'!AE128)</f>
        <v>101.21</v>
      </c>
      <c r="AF12" s="26">
        <f>IF('Simulasi Premi 1 (Personal)'!$E$38="Menurun",'Spek Produk'!AF70,'Spek Produk'!AF128)</f>
        <v>104.89</v>
      </c>
      <c r="AG12" s="26">
        <f>IF('Simulasi Premi 1 (Personal)'!$E$38="Menurun",'Spek Produk'!AG70,'Spek Produk'!AG128)</f>
        <v>0</v>
      </c>
      <c r="AH12" s="26">
        <f>IF('Simulasi Premi 1 (Personal)'!$E$38="Menurun",'Spek Produk'!AH70,'Spek Produk'!AH128)</f>
        <v>0</v>
      </c>
      <c r="AI12" s="26">
        <f>IF('Simulasi Premi 1 (Personal)'!$E$38="Menurun",'Spek Produk'!AI70,'Spek Produk'!AI128)</f>
        <v>0</v>
      </c>
      <c r="AJ12" s="26">
        <f>IF('Simulasi Premi 1 (Personal)'!$E$38="Menurun",'Spek Produk'!AJ70,'Spek Produk'!AJ128)</f>
        <v>0</v>
      </c>
      <c r="AK12" s="26">
        <f>IF('Simulasi Premi 1 (Personal)'!$E$38="Menurun",'Spek Produk'!AK70,'Spek Produk'!AK128)</f>
        <v>0</v>
      </c>
      <c r="AL12" s="26">
        <f>IF('Simulasi Premi 1 (Personal)'!$E$38="Menurun",'Spek Produk'!AL70,'Spek Produk'!AL128)</f>
        <v>0</v>
      </c>
      <c r="AM12" s="26">
        <f>IF('Simulasi Premi 1 (Personal)'!$E$38="Menurun",'Spek Produk'!AM70,'Spek Produk'!AM128)</f>
        <v>0</v>
      </c>
      <c r="AN12" s="26">
        <f>IF('Simulasi Premi 1 (Personal)'!$E$38="Menurun",'Spek Produk'!AN70,'Spek Produk'!AN128)</f>
        <v>0</v>
      </c>
      <c r="AO12" s="26">
        <f>IF('Simulasi Premi 1 (Personal)'!$E$38="Menurun",'Spek Produk'!AO70,'Spek Produk'!AO128)</f>
        <v>0</v>
      </c>
      <c r="AP12" s="26">
        <f>IF('Simulasi Premi 1 (Personal)'!$E$38="Menurun",'Spek Produk'!AP70,'Spek Produk'!AP128)</f>
        <v>0</v>
      </c>
      <c r="AR12" s="28">
        <f t="shared" si="1"/>
        <v>9</v>
      </c>
      <c r="AS12" s="27">
        <v>1</v>
      </c>
    </row>
    <row r="13" spans="2:45" x14ac:dyDescent="0.35">
      <c r="B13" s="18"/>
      <c r="C13" s="19"/>
      <c r="D13" s="19"/>
      <c r="E13" s="20"/>
      <c r="F13" s="20"/>
      <c r="G13" s="20"/>
      <c r="H13" s="21"/>
      <c r="I13" s="21"/>
      <c r="J13" s="22"/>
      <c r="L13" s="24">
        <f t="shared" si="0"/>
        <v>25</v>
      </c>
      <c r="M13" s="26">
        <f>IF('Simulasi Premi 1 (Personal)'!$E$38="Menurun",'Spek Produk'!M71,'Spek Produk'!M129)</f>
        <v>6.85</v>
      </c>
      <c r="N13" s="26">
        <f>IF('Simulasi Premi 1 (Personal)'!$E$38="Menurun",'Spek Produk'!N71,'Spek Produk'!N129)</f>
        <v>11.62</v>
      </c>
      <c r="O13" s="26">
        <f>IF('Simulasi Premi 1 (Personal)'!$E$38="Menurun",'Spek Produk'!O71,'Spek Produk'!O129)</f>
        <v>16.77</v>
      </c>
      <c r="P13" s="26">
        <f>IF('Simulasi Premi 1 (Personal)'!$E$38="Menurun",'Spek Produk'!P71,'Spek Produk'!P129)</f>
        <v>22.28</v>
      </c>
      <c r="Q13" s="26">
        <f>IF('Simulasi Premi 1 (Personal)'!$E$38="Menurun",'Spek Produk'!Q71,'Spek Produk'!Q129)</f>
        <v>28.12</v>
      </c>
      <c r="R13" s="26">
        <f>IF('Simulasi Premi 1 (Personal)'!$E$38="Menurun",'Spek Produk'!R71,'Spek Produk'!R129)</f>
        <v>34.26</v>
      </c>
      <c r="S13" s="26">
        <f>IF('Simulasi Premi 1 (Personal)'!$E$38="Menurun",'Spek Produk'!S71,'Spek Produk'!S129)</f>
        <v>40.68</v>
      </c>
      <c r="T13" s="26">
        <f>IF('Simulasi Premi 1 (Personal)'!$E$38="Menurun",'Spek Produk'!T71,'Spek Produk'!T129)</f>
        <v>47.4</v>
      </c>
      <c r="U13" s="26">
        <f>IF('Simulasi Premi 1 (Personal)'!$E$38="Menurun",'Spek Produk'!U71,'Spek Produk'!U129)</f>
        <v>54.4</v>
      </c>
      <c r="V13" s="26">
        <f>IF('Simulasi Premi 1 (Personal)'!$E$38="Menurun",'Spek Produk'!V71,'Spek Produk'!V129)</f>
        <v>61.68</v>
      </c>
      <c r="W13" s="26">
        <f>IF('Simulasi Premi 1 (Personal)'!$E$38="Menurun",'Spek Produk'!W71,'Spek Produk'!W129)</f>
        <v>66.66</v>
      </c>
      <c r="X13" s="26">
        <f>IF('Simulasi Premi 1 (Personal)'!$E$38="Menurun",'Spek Produk'!X71,'Spek Produk'!X129)</f>
        <v>71.64</v>
      </c>
      <c r="Y13" s="26">
        <f>IF('Simulasi Premi 1 (Personal)'!$E$38="Menurun",'Spek Produk'!Y71,'Spek Produk'!Y129)</f>
        <v>76.62</v>
      </c>
      <c r="Z13" s="26">
        <f>IF('Simulasi Premi 1 (Personal)'!$E$38="Menurun",'Spek Produk'!Z71,'Spek Produk'!Z129)</f>
        <v>81.599999999999994</v>
      </c>
      <c r="AA13" s="26">
        <f>IF('Simulasi Premi 1 (Personal)'!$E$38="Menurun",'Spek Produk'!AA71,'Spek Produk'!AA129)</f>
        <v>86.57</v>
      </c>
      <c r="AB13" s="26">
        <f>IF('Simulasi Premi 1 (Personal)'!$E$38="Menurun",'Spek Produk'!AB71,'Spek Produk'!AB129)</f>
        <v>90.23</v>
      </c>
      <c r="AC13" s="26">
        <f>IF('Simulasi Premi 1 (Personal)'!$E$38="Menurun",'Spek Produk'!AC71,'Spek Produk'!AC129)</f>
        <v>93.89</v>
      </c>
      <c r="AD13" s="26">
        <f>IF('Simulasi Premi 1 (Personal)'!$E$38="Menurun",'Spek Produk'!AD71,'Spek Produk'!AD129)</f>
        <v>97.55</v>
      </c>
      <c r="AE13" s="26">
        <f>IF('Simulasi Premi 1 (Personal)'!$E$38="Menurun",'Spek Produk'!AE71,'Spek Produk'!AE129)</f>
        <v>101.21</v>
      </c>
      <c r="AF13" s="26">
        <f>IF('Simulasi Premi 1 (Personal)'!$E$38="Menurun",'Spek Produk'!AF71,'Spek Produk'!AF129)</f>
        <v>104.89</v>
      </c>
      <c r="AG13" s="26">
        <f>IF('Simulasi Premi 1 (Personal)'!$E$38="Menurun",'Spek Produk'!AG71,'Spek Produk'!AG129)</f>
        <v>0</v>
      </c>
      <c r="AH13" s="26">
        <f>IF('Simulasi Premi 1 (Personal)'!$E$38="Menurun",'Spek Produk'!AH71,'Spek Produk'!AH129)</f>
        <v>0</v>
      </c>
      <c r="AI13" s="26">
        <f>IF('Simulasi Premi 1 (Personal)'!$E$38="Menurun",'Spek Produk'!AI71,'Spek Produk'!AI129)</f>
        <v>0</v>
      </c>
      <c r="AJ13" s="26">
        <f>IF('Simulasi Premi 1 (Personal)'!$E$38="Menurun",'Spek Produk'!AJ71,'Spek Produk'!AJ129)</f>
        <v>0</v>
      </c>
      <c r="AK13" s="26">
        <f>IF('Simulasi Premi 1 (Personal)'!$E$38="Menurun",'Spek Produk'!AK71,'Spek Produk'!AK129)</f>
        <v>0</v>
      </c>
      <c r="AL13" s="26">
        <f>IF('Simulasi Premi 1 (Personal)'!$E$38="Menurun",'Spek Produk'!AL71,'Spek Produk'!AL129)</f>
        <v>0</v>
      </c>
      <c r="AM13" s="26">
        <f>IF('Simulasi Premi 1 (Personal)'!$E$38="Menurun",'Spek Produk'!AM71,'Spek Produk'!AM129)</f>
        <v>0</v>
      </c>
      <c r="AN13" s="26">
        <f>IF('Simulasi Premi 1 (Personal)'!$E$38="Menurun",'Spek Produk'!AN71,'Spek Produk'!AN129)</f>
        <v>0</v>
      </c>
      <c r="AO13" s="26">
        <f>IF('Simulasi Premi 1 (Personal)'!$E$38="Menurun",'Spek Produk'!AO71,'Spek Produk'!AO129)</f>
        <v>0</v>
      </c>
      <c r="AP13" s="26">
        <f>IF('Simulasi Premi 1 (Personal)'!$E$38="Menurun",'Spek Produk'!AP71,'Spek Produk'!AP129)</f>
        <v>0</v>
      </c>
      <c r="AR13" s="28">
        <f t="shared" si="1"/>
        <v>10</v>
      </c>
      <c r="AS13" s="27">
        <v>1</v>
      </c>
    </row>
    <row r="14" spans="2:45" x14ac:dyDescent="0.35">
      <c r="L14" s="24">
        <f t="shared" si="0"/>
        <v>26</v>
      </c>
      <c r="M14" s="26">
        <f>IF('Simulasi Premi 1 (Personal)'!$E$38="Menurun",'Spek Produk'!M72,'Spek Produk'!M130)</f>
        <v>6.85</v>
      </c>
      <c r="N14" s="26">
        <f>IF('Simulasi Premi 1 (Personal)'!$E$38="Menurun",'Spek Produk'!N72,'Spek Produk'!N130)</f>
        <v>11.62</v>
      </c>
      <c r="O14" s="26">
        <f>IF('Simulasi Premi 1 (Personal)'!$E$38="Menurun",'Spek Produk'!O72,'Spek Produk'!O130)</f>
        <v>16.77</v>
      </c>
      <c r="P14" s="26">
        <f>IF('Simulasi Premi 1 (Personal)'!$E$38="Menurun",'Spek Produk'!P72,'Spek Produk'!P130)</f>
        <v>22.28</v>
      </c>
      <c r="Q14" s="26">
        <f>IF('Simulasi Premi 1 (Personal)'!$E$38="Menurun",'Spek Produk'!Q72,'Spek Produk'!Q130)</f>
        <v>28.12</v>
      </c>
      <c r="R14" s="26">
        <f>IF('Simulasi Premi 1 (Personal)'!$E$38="Menurun",'Spek Produk'!R72,'Spek Produk'!R130)</f>
        <v>34.26</v>
      </c>
      <c r="S14" s="26">
        <f>IF('Simulasi Premi 1 (Personal)'!$E$38="Menurun",'Spek Produk'!S72,'Spek Produk'!S130)</f>
        <v>40.68</v>
      </c>
      <c r="T14" s="26">
        <f>IF('Simulasi Premi 1 (Personal)'!$E$38="Menurun",'Spek Produk'!T72,'Spek Produk'!T130)</f>
        <v>47.4</v>
      </c>
      <c r="U14" s="26">
        <f>IF('Simulasi Premi 1 (Personal)'!$E$38="Menurun",'Spek Produk'!U72,'Spek Produk'!U130)</f>
        <v>54.4</v>
      </c>
      <c r="V14" s="26">
        <f>IF('Simulasi Premi 1 (Personal)'!$E$38="Menurun",'Spek Produk'!V72,'Spek Produk'!V130)</f>
        <v>61.68</v>
      </c>
      <c r="W14" s="26">
        <f>IF('Simulasi Premi 1 (Personal)'!$E$38="Menurun",'Spek Produk'!W72,'Spek Produk'!W130)</f>
        <v>66.66</v>
      </c>
      <c r="X14" s="26">
        <f>IF('Simulasi Premi 1 (Personal)'!$E$38="Menurun",'Spek Produk'!X72,'Spek Produk'!X130)</f>
        <v>71.64</v>
      </c>
      <c r="Y14" s="26">
        <f>IF('Simulasi Premi 1 (Personal)'!$E$38="Menurun",'Spek Produk'!Y72,'Spek Produk'!Y130)</f>
        <v>76.62</v>
      </c>
      <c r="Z14" s="26">
        <f>IF('Simulasi Premi 1 (Personal)'!$E$38="Menurun",'Spek Produk'!Z72,'Spek Produk'!Z130)</f>
        <v>81.599999999999994</v>
      </c>
      <c r="AA14" s="26">
        <f>IF('Simulasi Premi 1 (Personal)'!$E$38="Menurun",'Spek Produk'!AA72,'Spek Produk'!AA130)</f>
        <v>86.57</v>
      </c>
      <c r="AB14" s="26">
        <f>IF('Simulasi Premi 1 (Personal)'!$E$38="Menurun",'Spek Produk'!AB72,'Spek Produk'!AB130)</f>
        <v>90.23</v>
      </c>
      <c r="AC14" s="26">
        <f>IF('Simulasi Premi 1 (Personal)'!$E$38="Menurun",'Spek Produk'!AC72,'Spek Produk'!AC130)</f>
        <v>93.89</v>
      </c>
      <c r="AD14" s="26">
        <f>IF('Simulasi Premi 1 (Personal)'!$E$38="Menurun",'Spek Produk'!AD72,'Spek Produk'!AD130)</f>
        <v>97.55</v>
      </c>
      <c r="AE14" s="26">
        <f>IF('Simulasi Premi 1 (Personal)'!$E$38="Menurun",'Spek Produk'!AE72,'Spek Produk'!AE130)</f>
        <v>101.21</v>
      </c>
      <c r="AF14" s="26">
        <f>IF('Simulasi Premi 1 (Personal)'!$E$38="Menurun",'Spek Produk'!AF72,'Spek Produk'!AF130)</f>
        <v>104.89</v>
      </c>
      <c r="AG14" s="26">
        <f>IF('Simulasi Premi 1 (Personal)'!$E$38="Menurun",'Spek Produk'!AG72,'Spek Produk'!AG130)</f>
        <v>0</v>
      </c>
      <c r="AH14" s="26">
        <f>IF('Simulasi Premi 1 (Personal)'!$E$38="Menurun",'Spek Produk'!AH72,'Spek Produk'!AH130)</f>
        <v>0</v>
      </c>
      <c r="AI14" s="26">
        <f>IF('Simulasi Premi 1 (Personal)'!$E$38="Menurun",'Spek Produk'!AI72,'Spek Produk'!AI130)</f>
        <v>0</v>
      </c>
      <c r="AJ14" s="26">
        <f>IF('Simulasi Premi 1 (Personal)'!$E$38="Menurun",'Spek Produk'!AJ72,'Spek Produk'!AJ130)</f>
        <v>0</v>
      </c>
      <c r="AK14" s="26">
        <f>IF('Simulasi Premi 1 (Personal)'!$E$38="Menurun",'Spek Produk'!AK72,'Spek Produk'!AK130)</f>
        <v>0</v>
      </c>
      <c r="AL14" s="26">
        <f>IF('Simulasi Premi 1 (Personal)'!$E$38="Menurun",'Spek Produk'!AL72,'Spek Produk'!AL130)</f>
        <v>0</v>
      </c>
      <c r="AM14" s="26">
        <f>IF('Simulasi Premi 1 (Personal)'!$E$38="Menurun",'Spek Produk'!AM72,'Spek Produk'!AM130)</f>
        <v>0</v>
      </c>
      <c r="AN14" s="26">
        <f>IF('Simulasi Premi 1 (Personal)'!$E$38="Menurun",'Spek Produk'!AN72,'Spek Produk'!AN130)</f>
        <v>0</v>
      </c>
      <c r="AO14" s="26">
        <f>IF('Simulasi Premi 1 (Personal)'!$E$38="Menurun",'Spek Produk'!AO72,'Spek Produk'!AO130)</f>
        <v>0</v>
      </c>
      <c r="AP14" s="26">
        <f>IF('Simulasi Premi 1 (Personal)'!$E$38="Menurun",'Spek Produk'!AP72,'Spek Produk'!AP130)</f>
        <v>0</v>
      </c>
      <c r="AR14" s="28">
        <f t="shared" si="1"/>
        <v>11</v>
      </c>
      <c r="AS14" s="27">
        <v>1</v>
      </c>
    </row>
    <row r="15" spans="2:45" x14ac:dyDescent="0.35">
      <c r="B15" s="4"/>
      <c r="C15" s="5"/>
      <c r="D15" s="5"/>
      <c r="E15" s="5"/>
      <c r="F15" s="5"/>
      <c r="G15" s="5"/>
      <c r="H15" s="5"/>
      <c r="I15" s="5"/>
      <c r="J15" s="6"/>
      <c r="L15" s="24">
        <f t="shared" si="0"/>
        <v>27</v>
      </c>
      <c r="M15" s="26">
        <f>IF('Simulasi Premi 1 (Personal)'!$E$38="Menurun",'Spek Produk'!M73,'Spek Produk'!M131)</f>
        <v>6.85</v>
      </c>
      <c r="N15" s="26">
        <f>IF('Simulasi Premi 1 (Personal)'!$E$38="Menurun",'Spek Produk'!N73,'Spek Produk'!N131)</f>
        <v>11.62</v>
      </c>
      <c r="O15" s="26">
        <f>IF('Simulasi Premi 1 (Personal)'!$E$38="Menurun",'Spek Produk'!O73,'Spek Produk'!O131)</f>
        <v>16.77</v>
      </c>
      <c r="P15" s="26">
        <f>IF('Simulasi Premi 1 (Personal)'!$E$38="Menurun",'Spek Produk'!P73,'Spek Produk'!P131)</f>
        <v>22.28</v>
      </c>
      <c r="Q15" s="26">
        <f>IF('Simulasi Premi 1 (Personal)'!$E$38="Menurun",'Spek Produk'!Q73,'Spek Produk'!Q131)</f>
        <v>28.12</v>
      </c>
      <c r="R15" s="26">
        <f>IF('Simulasi Premi 1 (Personal)'!$E$38="Menurun",'Spek Produk'!R73,'Spek Produk'!R131)</f>
        <v>34.26</v>
      </c>
      <c r="S15" s="26">
        <f>IF('Simulasi Premi 1 (Personal)'!$E$38="Menurun",'Spek Produk'!S73,'Spek Produk'!S131)</f>
        <v>40.68</v>
      </c>
      <c r="T15" s="26">
        <f>IF('Simulasi Premi 1 (Personal)'!$E$38="Menurun",'Spek Produk'!T73,'Spek Produk'!T131)</f>
        <v>47.4</v>
      </c>
      <c r="U15" s="26">
        <f>IF('Simulasi Premi 1 (Personal)'!$E$38="Menurun",'Spek Produk'!U73,'Spek Produk'!U131)</f>
        <v>54.4</v>
      </c>
      <c r="V15" s="26">
        <f>IF('Simulasi Premi 1 (Personal)'!$E$38="Menurun",'Spek Produk'!V73,'Spek Produk'!V131)</f>
        <v>61.68</v>
      </c>
      <c r="W15" s="26">
        <f>IF('Simulasi Premi 1 (Personal)'!$E$38="Menurun",'Spek Produk'!W73,'Spek Produk'!W131)</f>
        <v>66.66</v>
      </c>
      <c r="X15" s="26">
        <f>IF('Simulasi Premi 1 (Personal)'!$E$38="Menurun",'Spek Produk'!X73,'Spek Produk'!X131)</f>
        <v>71.64</v>
      </c>
      <c r="Y15" s="26">
        <f>IF('Simulasi Premi 1 (Personal)'!$E$38="Menurun",'Spek Produk'!Y73,'Spek Produk'!Y131)</f>
        <v>76.62</v>
      </c>
      <c r="Z15" s="26">
        <f>IF('Simulasi Premi 1 (Personal)'!$E$38="Menurun",'Spek Produk'!Z73,'Spek Produk'!Z131)</f>
        <v>81.599999999999994</v>
      </c>
      <c r="AA15" s="26">
        <f>IF('Simulasi Premi 1 (Personal)'!$E$38="Menurun",'Spek Produk'!AA73,'Spek Produk'!AA131)</f>
        <v>86.57</v>
      </c>
      <c r="AB15" s="26">
        <f>IF('Simulasi Premi 1 (Personal)'!$E$38="Menurun",'Spek Produk'!AB73,'Spek Produk'!AB131)</f>
        <v>90.23</v>
      </c>
      <c r="AC15" s="26">
        <f>IF('Simulasi Premi 1 (Personal)'!$E$38="Menurun",'Spek Produk'!AC73,'Spek Produk'!AC131)</f>
        <v>93.89</v>
      </c>
      <c r="AD15" s="26">
        <f>IF('Simulasi Premi 1 (Personal)'!$E$38="Menurun",'Spek Produk'!AD73,'Spek Produk'!AD131)</f>
        <v>97.55</v>
      </c>
      <c r="AE15" s="26">
        <f>IF('Simulasi Premi 1 (Personal)'!$E$38="Menurun",'Spek Produk'!AE73,'Spek Produk'!AE131)</f>
        <v>101.21</v>
      </c>
      <c r="AF15" s="26">
        <f>IF('Simulasi Premi 1 (Personal)'!$E$38="Menurun",'Spek Produk'!AF73,'Spek Produk'!AF131)</f>
        <v>104.89</v>
      </c>
      <c r="AG15" s="26">
        <f>IF('Simulasi Premi 1 (Personal)'!$E$38="Menurun",'Spek Produk'!AG73,'Spek Produk'!AG131)</f>
        <v>0</v>
      </c>
      <c r="AH15" s="26">
        <f>IF('Simulasi Premi 1 (Personal)'!$E$38="Menurun",'Spek Produk'!AH73,'Spek Produk'!AH131)</f>
        <v>0</v>
      </c>
      <c r="AI15" s="26">
        <f>IF('Simulasi Premi 1 (Personal)'!$E$38="Menurun",'Spek Produk'!AI73,'Spek Produk'!AI131)</f>
        <v>0</v>
      </c>
      <c r="AJ15" s="26">
        <f>IF('Simulasi Premi 1 (Personal)'!$E$38="Menurun",'Spek Produk'!AJ73,'Spek Produk'!AJ131)</f>
        <v>0</v>
      </c>
      <c r="AK15" s="26">
        <f>IF('Simulasi Premi 1 (Personal)'!$E$38="Menurun",'Spek Produk'!AK73,'Spek Produk'!AK131)</f>
        <v>0</v>
      </c>
      <c r="AL15" s="26">
        <f>IF('Simulasi Premi 1 (Personal)'!$E$38="Menurun",'Spek Produk'!AL73,'Spek Produk'!AL131)</f>
        <v>0</v>
      </c>
      <c r="AM15" s="26">
        <f>IF('Simulasi Premi 1 (Personal)'!$E$38="Menurun",'Spek Produk'!AM73,'Spek Produk'!AM131)</f>
        <v>0</v>
      </c>
      <c r="AN15" s="26">
        <f>IF('Simulasi Premi 1 (Personal)'!$E$38="Menurun",'Spek Produk'!AN73,'Spek Produk'!AN131)</f>
        <v>0</v>
      </c>
      <c r="AO15" s="26">
        <f>IF('Simulasi Premi 1 (Personal)'!$E$38="Menurun",'Spek Produk'!AO73,'Spek Produk'!AO131)</f>
        <v>0</v>
      </c>
      <c r="AP15" s="26">
        <f>IF('Simulasi Premi 1 (Personal)'!$E$38="Menurun",'Spek Produk'!AP73,'Spek Produk'!AP131)</f>
        <v>0</v>
      </c>
      <c r="AR15" s="28">
        <f t="shared" si="1"/>
        <v>12</v>
      </c>
      <c r="AS15" s="27">
        <v>1</v>
      </c>
    </row>
    <row r="16" spans="2:45" x14ac:dyDescent="0.35">
      <c r="B16" s="7"/>
      <c r="C16" s="8" t="s">
        <v>91</v>
      </c>
      <c r="D16" s="9"/>
      <c r="E16" s="9"/>
      <c r="F16" s="9"/>
      <c r="G16" s="9"/>
      <c r="H16" s="9"/>
      <c r="I16" s="9"/>
      <c r="J16" s="10"/>
      <c r="L16" s="24">
        <f t="shared" si="0"/>
        <v>28</v>
      </c>
      <c r="M16" s="26">
        <f>IF('Simulasi Premi 1 (Personal)'!$E$38="Menurun",'Spek Produk'!M74,'Spek Produk'!M132)</f>
        <v>6.85</v>
      </c>
      <c r="N16" s="26">
        <f>IF('Simulasi Premi 1 (Personal)'!$E$38="Menurun",'Spek Produk'!N74,'Spek Produk'!N132)</f>
        <v>11.62</v>
      </c>
      <c r="O16" s="26">
        <f>IF('Simulasi Premi 1 (Personal)'!$E$38="Menurun",'Spek Produk'!O74,'Spek Produk'!O132)</f>
        <v>16.77</v>
      </c>
      <c r="P16" s="26">
        <f>IF('Simulasi Premi 1 (Personal)'!$E$38="Menurun",'Spek Produk'!P74,'Spek Produk'!P132)</f>
        <v>22.28</v>
      </c>
      <c r="Q16" s="26">
        <f>IF('Simulasi Premi 1 (Personal)'!$E$38="Menurun",'Spek Produk'!Q74,'Spek Produk'!Q132)</f>
        <v>28.12</v>
      </c>
      <c r="R16" s="26">
        <f>IF('Simulasi Premi 1 (Personal)'!$E$38="Menurun",'Spek Produk'!R74,'Spek Produk'!R132)</f>
        <v>34.26</v>
      </c>
      <c r="S16" s="26">
        <f>IF('Simulasi Premi 1 (Personal)'!$E$38="Menurun",'Spek Produk'!S74,'Spek Produk'!S132)</f>
        <v>40.68</v>
      </c>
      <c r="T16" s="26">
        <f>IF('Simulasi Premi 1 (Personal)'!$E$38="Menurun",'Spek Produk'!T74,'Spek Produk'!T132)</f>
        <v>47.4</v>
      </c>
      <c r="U16" s="26">
        <f>IF('Simulasi Premi 1 (Personal)'!$E$38="Menurun",'Spek Produk'!U74,'Spek Produk'!U132)</f>
        <v>54.4</v>
      </c>
      <c r="V16" s="26">
        <f>IF('Simulasi Premi 1 (Personal)'!$E$38="Menurun",'Spek Produk'!V74,'Spek Produk'!V132)</f>
        <v>61.68</v>
      </c>
      <c r="W16" s="26">
        <f>IF('Simulasi Premi 1 (Personal)'!$E$38="Menurun",'Spek Produk'!W74,'Spek Produk'!W132)</f>
        <v>66.66</v>
      </c>
      <c r="X16" s="26">
        <f>IF('Simulasi Premi 1 (Personal)'!$E$38="Menurun",'Spek Produk'!X74,'Spek Produk'!X132)</f>
        <v>71.64</v>
      </c>
      <c r="Y16" s="26">
        <f>IF('Simulasi Premi 1 (Personal)'!$E$38="Menurun",'Spek Produk'!Y74,'Spek Produk'!Y132)</f>
        <v>76.62</v>
      </c>
      <c r="Z16" s="26">
        <f>IF('Simulasi Premi 1 (Personal)'!$E$38="Menurun",'Spek Produk'!Z74,'Spek Produk'!Z132)</f>
        <v>81.599999999999994</v>
      </c>
      <c r="AA16" s="26">
        <f>IF('Simulasi Premi 1 (Personal)'!$E$38="Menurun",'Spek Produk'!AA74,'Spek Produk'!AA132)</f>
        <v>86.57</v>
      </c>
      <c r="AB16" s="26">
        <f>IF('Simulasi Premi 1 (Personal)'!$E$38="Menurun",'Spek Produk'!AB74,'Spek Produk'!AB132)</f>
        <v>90.23</v>
      </c>
      <c r="AC16" s="26">
        <f>IF('Simulasi Premi 1 (Personal)'!$E$38="Menurun",'Spek Produk'!AC74,'Spek Produk'!AC132)</f>
        <v>93.89</v>
      </c>
      <c r="AD16" s="26">
        <f>IF('Simulasi Premi 1 (Personal)'!$E$38="Menurun",'Spek Produk'!AD74,'Spek Produk'!AD132)</f>
        <v>97.55</v>
      </c>
      <c r="AE16" s="26">
        <f>IF('Simulasi Premi 1 (Personal)'!$E$38="Menurun",'Spek Produk'!AE74,'Spek Produk'!AE132)</f>
        <v>101.21</v>
      </c>
      <c r="AF16" s="26">
        <f>IF('Simulasi Premi 1 (Personal)'!$E$38="Menurun",'Spek Produk'!AF74,'Spek Produk'!AF132)</f>
        <v>104.89</v>
      </c>
      <c r="AG16" s="26">
        <f>IF('Simulasi Premi 1 (Personal)'!$E$38="Menurun",'Spek Produk'!AG74,'Spek Produk'!AG132)</f>
        <v>0</v>
      </c>
      <c r="AH16" s="26">
        <f>IF('Simulasi Premi 1 (Personal)'!$E$38="Menurun",'Spek Produk'!AH74,'Spek Produk'!AH132)</f>
        <v>0</v>
      </c>
      <c r="AI16" s="26">
        <f>IF('Simulasi Premi 1 (Personal)'!$E$38="Menurun",'Spek Produk'!AI74,'Spek Produk'!AI132)</f>
        <v>0</v>
      </c>
      <c r="AJ16" s="26">
        <f>IF('Simulasi Premi 1 (Personal)'!$E$38="Menurun",'Spek Produk'!AJ74,'Spek Produk'!AJ132)</f>
        <v>0</v>
      </c>
      <c r="AK16" s="26">
        <f>IF('Simulasi Premi 1 (Personal)'!$E$38="Menurun",'Spek Produk'!AK74,'Spek Produk'!AK132)</f>
        <v>0</v>
      </c>
      <c r="AL16" s="26">
        <f>IF('Simulasi Premi 1 (Personal)'!$E$38="Menurun",'Spek Produk'!AL74,'Spek Produk'!AL132)</f>
        <v>0</v>
      </c>
      <c r="AM16" s="26">
        <f>IF('Simulasi Premi 1 (Personal)'!$E$38="Menurun",'Spek Produk'!AM74,'Spek Produk'!AM132)</f>
        <v>0</v>
      </c>
      <c r="AN16" s="26">
        <f>IF('Simulasi Premi 1 (Personal)'!$E$38="Menurun",'Spek Produk'!AN74,'Spek Produk'!AN132)</f>
        <v>0</v>
      </c>
      <c r="AO16" s="26">
        <f>IF('Simulasi Premi 1 (Personal)'!$E$38="Menurun",'Spek Produk'!AO74,'Spek Produk'!AO132)</f>
        <v>0</v>
      </c>
      <c r="AP16" s="26">
        <f>IF('Simulasi Premi 1 (Personal)'!$E$38="Menurun",'Spek Produk'!AP74,'Spek Produk'!AP132)</f>
        <v>0</v>
      </c>
    </row>
    <row r="17" spans="2:45" x14ac:dyDescent="0.35">
      <c r="B17" s="7"/>
      <c r="C17" s="8"/>
      <c r="D17" s="9"/>
      <c r="E17" s="9"/>
      <c r="F17" s="9"/>
      <c r="G17" s="9"/>
      <c r="H17" s="9"/>
      <c r="I17" s="9"/>
      <c r="J17" s="10"/>
      <c r="L17" s="24">
        <f t="shared" si="0"/>
        <v>29</v>
      </c>
      <c r="M17" s="26">
        <f>IF('Simulasi Premi 1 (Personal)'!$E$38="Menurun",'Spek Produk'!M75,'Spek Produk'!M133)</f>
        <v>6.85</v>
      </c>
      <c r="N17" s="26">
        <f>IF('Simulasi Premi 1 (Personal)'!$E$38="Menurun",'Spek Produk'!N75,'Spek Produk'!N133)</f>
        <v>11.62</v>
      </c>
      <c r="O17" s="26">
        <f>IF('Simulasi Premi 1 (Personal)'!$E$38="Menurun",'Spek Produk'!O75,'Spek Produk'!O133)</f>
        <v>16.77</v>
      </c>
      <c r="P17" s="26">
        <f>IF('Simulasi Premi 1 (Personal)'!$E$38="Menurun",'Spek Produk'!P75,'Spek Produk'!P133)</f>
        <v>22.28</v>
      </c>
      <c r="Q17" s="26">
        <f>IF('Simulasi Premi 1 (Personal)'!$E$38="Menurun",'Spek Produk'!Q75,'Spek Produk'!Q133)</f>
        <v>28.12</v>
      </c>
      <c r="R17" s="26">
        <f>IF('Simulasi Premi 1 (Personal)'!$E$38="Menurun",'Spek Produk'!R75,'Spek Produk'!R133)</f>
        <v>34.26</v>
      </c>
      <c r="S17" s="26">
        <f>IF('Simulasi Premi 1 (Personal)'!$E$38="Menurun",'Spek Produk'!S75,'Spek Produk'!S133)</f>
        <v>40.68</v>
      </c>
      <c r="T17" s="26">
        <f>IF('Simulasi Premi 1 (Personal)'!$E$38="Menurun",'Spek Produk'!T75,'Spek Produk'!T133)</f>
        <v>47.4</v>
      </c>
      <c r="U17" s="26">
        <f>IF('Simulasi Premi 1 (Personal)'!$E$38="Menurun",'Spek Produk'!U75,'Spek Produk'!U133)</f>
        <v>54.4</v>
      </c>
      <c r="V17" s="26">
        <f>IF('Simulasi Premi 1 (Personal)'!$E$38="Menurun",'Spek Produk'!V75,'Spek Produk'!V133)</f>
        <v>61.68</v>
      </c>
      <c r="W17" s="26">
        <f>IF('Simulasi Premi 1 (Personal)'!$E$38="Menurun",'Spek Produk'!W75,'Spek Produk'!W133)</f>
        <v>66.66</v>
      </c>
      <c r="X17" s="26">
        <f>IF('Simulasi Premi 1 (Personal)'!$E$38="Menurun",'Spek Produk'!X75,'Spek Produk'!X133)</f>
        <v>71.64</v>
      </c>
      <c r="Y17" s="26">
        <f>IF('Simulasi Premi 1 (Personal)'!$E$38="Menurun",'Spek Produk'!Y75,'Spek Produk'!Y133)</f>
        <v>76.62</v>
      </c>
      <c r="Z17" s="26">
        <f>IF('Simulasi Premi 1 (Personal)'!$E$38="Menurun",'Spek Produk'!Z75,'Spek Produk'!Z133)</f>
        <v>81.599999999999994</v>
      </c>
      <c r="AA17" s="26">
        <f>IF('Simulasi Premi 1 (Personal)'!$E$38="Menurun",'Spek Produk'!AA75,'Spek Produk'!AA133)</f>
        <v>86.57</v>
      </c>
      <c r="AB17" s="26">
        <f>IF('Simulasi Premi 1 (Personal)'!$E$38="Menurun",'Spek Produk'!AB75,'Spek Produk'!AB133)</f>
        <v>90.23</v>
      </c>
      <c r="AC17" s="26">
        <f>IF('Simulasi Premi 1 (Personal)'!$E$38="Menurun",'Spek Produk'!AC75,'Spek Produk'!AC133)</f>
        <v>93.89</v>
      </c>
      <c r="AD17" s="26">
        <f>IF('Simulasi Premi 1 (Personal)'!$E$38="Menurun",'Spek Produk'!AD75,'Spek Produk'!AD133)</f>
        <v>97.55</v>
      </c>
      <c r="AE17" s="26">
        <f>IF('Simulasi Premi 1 (Personal)'!$E$38="Menurun",'Spek Produk'!AE75,'Spek Produk'!AE133)</f>
        <v>101.21</v>
      </c>
      <c r="AF17" s="26">
        <f>IF('Simulasi Premi 1 (Personal)'!$E$38="Menurun",'Spek Produk'!AF75,'Spek Produk'!AF133)</f>
        <v>104.89</v>
      </c>
      <c r="AG17" s="26">
        <f>IF('Simulasi Premi 1 (Personal)'!$E$38="Menurun",'Spek Produk'!AG75,'Spek Produk'!AG133)</f>
        <v>0</v>
      </c>
      <c r="AH17" s="26">
        <f>IF('Simulasi Premi 1 (Personal)'!$E$38="Menurun",'Spek Produk'!AH75,'Spek Produk'!AH133)</f>
        <v>0</v>
      </c>
      <c r="AI17" s="26">
        <f>IF('Simulasi Premi 1 (Personal)'!$E$38="Menurun",'Spek Produk'!AI75,'Spek Produk'!AI133)</f>
        <v>0</v>
      </c>
      <c r="AJ17" s="26">
        <f>IF('Simulasi Premi 1 (Personal)'!$E$38="Menurun",'Spek Produk'!AJ75,'Spek Produk'!AJ133)</f>
        <v>0</v>
      </c>
      <c r="AK17" s="26">
        <f>IF('Simulasi Premi 1 (Personal)'!$E$38="Menurun",'Spek Produk'!AK75,'Spek Produk'!AK133)</f>
        <v>0</v>
      </c>
      <c r="AL17" s="26">
        <f>IF('Simulasi Premi 1 (Personal)'!$E$38="Menurun",'Spek Produk'!AL75,'Spek Produk'!AL133)</f>
        <v>0</v>
      </c>
      <c r="AM17" s="26">
        <f>IF('Simulasi Premi 1 (Personal)'!$E$38="Menurun",'Spek Produk'!AM75,'Spek Produk'!AM133)</f>
        <v>0</v>
      </c>
      <c r="AN17" s="26">
        <f>IF('Simulasi Premi 1 (Personal)'!$E$38="Menurun",'Spek Produk'!AN75,'Spek Produk'!AN133)</f>
        <v>0</v>
      </c>
      <c r="AO17" s="26">
        <f>IF('Simulasi Premi 1 (Personal)'!$E$38="Menurun",'Spek Produk'!AO75,'Spek Produk'!AO133)</f>
        <v>0</v>
      </c>
      <c r="AP17" s="26">
        <f>IF('Simulasi Premi 1 (Personal)'!$E$38="Menurun",'Spek Produk'!AP75,'Spek Produk'!AP133)</f>
        <v>0</v>
      </c>
      <c r="AR17" s="29" t="s">
        <v>58</v>
      </c>
      <c r="AS17" s="29" t="s">
        <v>59</v>
      </c>
    </row>
    <row r="18" spans="2:45" x14ac:dyDescent="0.35">
      <c r="B18" s="7"/>
      <c r="C18" s="9" t="s">
        <v>35</v>
      </c>
      <c r="D18" s="9"/>
      <c r="E18" s="11" t="s">
        <v>24</v>
      </c>
      <c r="F18" s="138" t="s">
        <v>47</v>
      </c>
      <c r="G18" s="139"/>
      <c r="H18" s="139"/>
      <c r="I18" s="140"/>
      <c r="J18" s="10"/>
      <c r="L18" s="24">
        <f t="shared" si="0"/>
        <v>30</v>
      </c>
      <c r="M18" s="26">
        <f>IF('Simulasi Premi 1 (Personal)'!$E$38="Menurun",'Spek Produk'!M76,'Spek Produk'!M134)</f>
        <v>6.85</v>
      </c>
      <c r="N18" s="26">
        <f>IF('Simulasi Premi 1 (Personal)'!$E$38="Menurun",'Spek Produk'!N76,'Spek Produk'!N134)</f>
        <v>11.62</v>
      </c>
      <c r="O18" s="26">
        <f>IF('Simulasi Premi 1 (Personal)'!$E$38="Menurun",'Spek Produk'!O76,'Spek Produk'!O134)</f>
        <v>16.77</v>
      </c>
      <c r="P18" s="26">
        <f>IF('Simulasi Premi 1 (Personal)'!$E$38="Menurun",'Spek Produk'!P76,'Spek Produk'!P134)</f>
        <v>22.28</v>
      </c>
      <c r="Q18" s="26">
        <f>IF('Simulasi Premi 1 (Personal)'!$E$38="Menurun",'Spek Produk'!Q76,'Spek Produk'!Q134)</f>
        <v>28.12</v>
      </c>
      <c r="R18" s="26">
        <f>IF('Simulasi Premi 1 (Personal)'!$E$38="Menurun",'Spek Produk'!R76,'Spek Produk'!R134)</f>
        <v>34.26</v>
      </c>
      <c r="S18" s="26">
        <f>IF('Simulasi Premi 1 (Personal)'!$E$38="Menurun",'Spek Produk'!S76,'Spek Produk'!S134)</f>
        <v>40.68</v>
      </c>
      <c r="T18" s="26">
        <f>IF('Simulasi Premi 1 (Personal)'!$E$38="Menurun",'Spek Produk'!T76,'Spek Produk'!T134)</f>
        <v>47.4</v>
      </c>
      <c r="U18" s="26">
        <f>IF('Simulasi Premi 1 (Personal)'!$E$38="Menurun",'Spek Produk'!U76,'Spek Produk'!U134)</f>
        <v>54.4</v>
      </c>
      <c r="V18" s="26">
        <f>IF('Simulasi Premi 1 (Personal)'!$E$38="Menurun",'Spek Produk'!V76,'Spek Produk'!V134)</f>
        <v>61.68</v>
      </c>
      <c r="W18" s="26">
        <f>IF('Simulasi Premi 1 (Personal)'!$E$38="Menurun",'Spek Produk'!W76,'Spek Produk'!W134)</f>
        <v>66.66</v>
      </c>
      <c r="X18" s="26">
        <f>IF('Simulasi Premi 1 (Personal)'!$E$38="Menurun",'Spek Produk'!X76,'Spek Produk'!X134)</f>
        <v>71.64</v>
      </c>
      <c r="Y18" s="26">
        <f>IF('Simulasi Premi 1 (Personal)'!$E$38="Menurun",'Spek Produk'!Y76,'Spek Produk'!Y134)</f>
        <v>76.62</v>
      </c>
      <c r="Z18" s="26">
        <f>IF('Simulasi Premi 1 (Personal)'!$E$38="Menurun",'Spek Produk'!Z76,'Spek Produk'!Z134)</f>
        <v>81.599999999999994</v>
      </c>
      <c r="AA18" s="26">
        <f>IF('Simulasi Premi 1 (Personal)'!$E$38="Menurun",'Spek Produk'!AA76,'Spek Produk'!AA134)</f>
        <v>86.57</v>
      </c>
      <c r="AB18" s="26">
        <f>IF('Simulasi Premi 1 (Personal)'!$E$38="Menurun",'Spek Produk'!AB76,'Spek Produk'!AB134)</f>
        <v>90.23</v>
      </c>
      <c r="AC18" s="26">
        <f>IF('Simulasi Premi 1 (Personal)'!$E$38="Menurun",'Spek Produk'!AC76,'Spek Produk'!AC134)</f>
        <v>93.89</v>
      </c>
      <c r="AD18" s="26">
        <f>IF('Simulasi Premi 1 (Personal)'!$E$38="Menurun",'Spek Produk'!AD76,'Spek Produk'!AD134)</f>
        <v>97.55</v>
      </c>
      <c r="AE18" s="26">
        <f>IF('Simulasi Premi 1 (Personal)'!$E$38="Menurun",'Spek Produk'!AE76,'Spek Produk'!AE134)</f>
        <v>101.21</v>
      </c>
      <c r="AF18" s="26">
        <f>IF('Simulasi Premi 1 (Personal)'!$E$38="Menurun",'Spek Produk'!AF76,'Spek Produk'!AF134)</f>
        <v>104.89</v>
      </c>
      <c r="AG18" s="26">
        <f>IF('Simulasi Premi 1 (Personal)'!$E$38="Menurun",'Spek Produk'!AG76,'Spek Produk'!AG134)</f>
        <v>0</v>
      </c>
      <c r="AH18" s="26">
        <f>IF('Simulasi Premi 1 (Personal)'!$E$38="Menurun",'Spek Produk'!AH76,'Spek Produk'!AH134)</f>
        <v>0</v>
      </c>
      <c r="AI18" s="26">
        <f>IF('Simulasi Premi 1 (Personal)'!$E$38="Menurun",'Spek Produk'!AI76,'Spek Produk'!AI134)</f>
        <v>0</v>
      </c>
      <c r="AJ18" s="26">
        <f>IF('Simulasi Premi 1 (Personal)'!$E$38="Menurun",'Spek Produk'!AJ76,'Spek Produk'!AJ134)</f>
        <v>0</v>
      </c>
      <c r="AK18" s="26">
        <f>IF('Simulasi Premi 1 (Personal)'!$E$38="Menurun",'Spek Produk'!AK76,'Spek Produk'!AK134)</f>
        <v>0</v>
      </c>
      <c r="AL18" s="26">
        <f>IF('Simulasi Premi 1 (Personal)'!$E$38="Menurun",'Spek Produk'!AL76,'Spek Produk'!AL134)</f>
        <v>0</v>
      </c>
      <c r="AM18" s="26">
        <f>IF('Simulasi Premi 1 (Personal)'!$E$38="Menurun",'Spek Produk'!AM76,'Spek Produk'!AM134)</f>
        <v>0</v>
      </c>
      <c r="AN18" s="26">
        <f>IF('Simulasi Premi 1 (Personal)'!$E$38="Menurun",'Spek Produk'!AN76,'Spek Produk'!AN134)</f>
        <v>0</v>
      </c>
      <c r="AO18" s="26">
        <f>IF('Simulasi Premi 1 (Personal)'!$E$38="Menurun",'Spek Produk'!AO76,'Spek Produk'!AO134)</f>
        <v>0</v>
      </c>
      <c r="AP18" s="26">
        <f>IF('Simulasi Premi 1 (Personal)'!$E$38="Menurun",'Spek Produk'!AP76,'Spek Produk'!AP134)</f>
        <v>0</v>
      </c>
      <c r="AR18" s="29" t="s">
        <v>48</v>
      </c>
      <c r="AS18" s="30" t="s">
        <v>53</v>
      </c>
    </row>
    <row r="19" spans="2:45" x14ac:dyDescent="0.35">
      <c r="B19" s="7"/>
      <c r="C19" s="9" t="s">
        <v>36</v>
      </c>
      <c r="D19" s="9"/>
      <c r="E19" s="11" t="s">
        <v>24</v>
      </c>
      <c r="F19" s="138" t="s">
        <v>109</v>
      </c>
      <c r="G19" s="139"/>
      <c r="H19" s="139"/>
      <c r="I19" s="140"/>
      <c r="J19" s="10"/>
      <c r="L19" s="24">
        <f t="shared" si="0"/>
        <v>31</v>
      </c>
      <c r="M19" s="26">
        <f>IF('Simulasi Premi 1 (Personal)'!$E$38="Menurun",'Spek Produk'!M77,'Spek Produk'!M135)</f>
        <v>6.85</v>
      </c>
      <c r="N19" s="26">
        <f>IF('Simulasi Premi 1 (Personal)'!$E$38="Menurun",'Spek Produk'!N77,'Spek Produk'!N135)</f>
        <v>11.62</v>
      </c>
      <c r="O19" s="26">
        <f>IF('Simulasi Premi 1 (Personal)'!$E$38="Menurun",'Spek Produk'!O77,'Spek Produk'!O135)</f>
        <v>16.77</v>
      </c>
      <c r="P19" s="26">
        <f>IF('Simulasi Premi 1 (Personal)'!$E$38="Menurun",'Spek Produk'!P77,'Spek Produk'!P135)</f>
        <v>22.28</v>
      </c>
      <c r="Q19" s="26">
        <f>IF('Simulasi Premi 1 (Personal)'!$E$38="Menurun",'Spek Produk'!Q77,'Spek Produk'!Q135)</f>
        <v>28.12</v>
      </c>
      <c r="R19" s="26">
        <f>IF('Simulasi Premi 1 (Personal)'!$E$38="Menurun",'Spek Produk'!R77,'Spek Produk'!R135)</f>
        <v>34.26</v>
      </c>
      <c r="S19" s="26">
        <f>IF('Simulasi Premi 1 (Personal)'!$E$38="Menurun",'Spek Produk'!S77,'Spek Produk'!S135)</f>
        <v>40.68</v>
      </c>
      <c r="T19" s="26">
        <f>IF('Simulasi Premi 1 (Personal)'!$E$38="Menurun",'Spek Produk'!T77,'Spek Produk'!T135)</f>
        <v>47.4</v>
      </c>
      <c r="U19" s="26">
        <f>IF('Simulasi Premi 1 (Personal)'!$E$38="Menurun",'Spek Produk'!U77,'Spek Produk'!U135)</f>
        <v>54.4</v>
      </c>
      <c r="V19" s="26">
        <f>IF('Simulasi Premi 1 (Personal)'!$E$38="Menurun",'Spek Produk'!V77,'Spek Produk'!V135)</f>
        <v>61.68</v>
      </c>
      <c r="W19" s="26">
        <f>IF('Simulasi Premi 1 (Personal)'!$E$38="Menurun",'Spek Produk'!W77,'Spek Produk'!W135)</f>
        <v>66.66</v>
      </c>
      <c r="X19" s="26">
        <f>IF('Simulasi Premi 1 (Personal)'!$E$38="Menurun",'Spek Produk'!X77,'Spek Produk'!X135)</f>
        <v>71.64</v>
      </c>
      <c r="Y19" s="26">
        <f>IF('Simulasi Premi 1 (Personal)'!$E$38="Menurun",'Spek Produk'!Y77,'Spek Produk'!Y135)</f>
        <v>76.62</v>
      </c>
      <c r="Z19" s="26">
        <f>IF('Simulasi Premi 1 (Personal)'!$E$38="Menurun",'Spek Produk'!Z77,'Spek Produk'!Z135)</f>
        <v>81.599999999999994</v>
      </c>
      <c r="AA19" s="26">
        <f>IF('Simulasi Premi 1 (Personal)'!$E$38="Menurun",'Spek Produk'!AA77,'Spek Produk'!AA135)</f>
        <v>86.57</v>
      </c>
      <c r="AB19" s="26">
        <f>IF('Simulasi Premi 1 (Personal)'!$E$38="Menurun",'Spek Produk'!AB77,'Spek Produk'!AB135)</f>
        <v>90.23</v>
      </c>
      <c r="AC19" s="26">
        <f>IF('Simulasi Premi 1 (Personal)'!$E$38="Menurun",'Spek Produk'!AC77,'Spek Produk'!AC135)</f>
        <v>93.89</v>
      </c>
      <c r="AD19" s="26">
        <f>IF('Simulasi Premi 1 (Personal)'!$E$38="Menurun",'Spek Produk'!AD77,'Spek Produk'!AD135)</f>
        <v>97.55</v>
      </c>
      <c r="AE19" s="26">
        <f>IF('Simulasi Premi 1 (Personal)'!$E$38="Menurun",'Spek Produk'!AE77,'Spek Produk'!AE135)</f>
        <v>101.21</v>
      </c>
      <c r="AF19" s="26">
        <f>IF('Simulasi Premi 1 (Personal)'!$E$38="Menurun",'Spek Produk'!AF77,'Spek Produk'!AF135)</f>
        <v>104.89</v>
      </c>
      <c r="AG19" s="26">
        <f>IF('Simulasi Premi 1 (Personal)'!$E$38="Menurun",'Spek Produk'!AG77,'Spek Produk'!AG135)</f>
        <v>0</v>
      </c>
      <c r="AH19" s="26">
        <f>IF('Simulasi Premi 1 (Personal)'!$E$38="Menurun",'Spek Produk'!AH77,'Spek Produk'!AH135)</f>
        <v>0</v>
      </c>
      <c r="AI19" s="26">
        <f>IF('Simulasi Premi 1 (Personal)'!$E$38="Menurun",'Spek Produk'!AI77,'Spek Produk'!AI135)</f>
        <v>0</v>
      </c>
      <c r="AJ19" s="26">
        <f>IF('Simulasi Premi 1 (Personal)'!$E$38="Menurun",'Spek Produk'!AJ77,'Spek Produk'!AJ135)</f>
        <v>0</v>
      </c>
      <c r="AK19" s="26">
        <f>IF('Simulasi Premi 1 (Personal)'!$E$38="Menurun",'Spek Produk'!AK77,'Spek Produk'!AK135)</f>
        <v>0</v>
      </c>
      <c r="AL19" s="26">
        <f>IF('Simulasi Premi 1 (Personal)'!$E$38="Menurun",'Spek Produk'!AL77,'Spek Produk'!AL135)</f>
        <v>0</v>
      </c>
      <c r="AM19" s="26">
        <f>IF('Simulasi Premi 1 (Personal)'!$E$38="Menurun",'Spek Produk'!AM77,'Spek Produk'!AM135)</f>
        <v>0</v>
      </c>
      <c r="AN19" s="26">
        <f>IF('Simulasi Premi 1 (Personal)'!$E$38="Menurun",'Spek Produk'!AN77,'Spek Produk'!AN135)</f>
        <v>0</v>
      </c>
      <c r="AO19" s="26">
        <f>IF('Simulasi Premi 1 (Personal)'!$E$38="Menurun",'Spek Produk'!AO77,'Spek Produk'!AO135)</f>
        <v>0</v>
      </c>
      <c r="AP19" s="26">
        <f>IF('Simulasi Premi 1 (Personal)'!$E$38="Menurun",'Spek Produk'!AP77,'Spek Produk'!AP135)</f>
        <v>0</v>
      </c>
      <c r="AR19" s="29" t="s">
        <v>49</v>
      </c>
      <c r="AS19" s="30" t="s">
        <v>54</v>
      </c>
    </row>
    <row r="20" spans="2:45" x14ac:dyDescent="0.35">
      <c r="B20" s="7"/>
      <c r="C20" s="9" t="s">
        <v>37</v>
      </c>
      <c r="D20" s="9"/>
      <c r="E20" s="11" t="s">
        <v>24</v>
      </c>
      <c r="F20" s="141">
        <v>1000000000</v>
      </c>
      <c r="G20" s="142"/>
      <c r="H20" s="142"/>
      <c r="I20" s="143"/>
      <c r="J20" s="10"/>
      <c r="L20" s="24">
        <f t="shared" si="0"/>
        <v>32</v>
      </c>
      <c r="M20" s="26">
        <f>IF('Simulasi Premi 1 (Personal)'!$E$38="Menurun",'Spek Produk'!M78,'Spek Produk'!M136)</f>
        <v>6.85</v>
      </c>
      <c r="N20" s="26">
        <f>IF('Simulasi Premi 1 (Personal)'!$E$38="Menurun",'Spek Produk'!N78,'Spek Produk'!N136)</f>
        <v>11.62</v>
      </c>
      <c r="O20" s="26">
        <f>IF('Simulasi Premi 1 (Personal)'!$E$38="Menurun",'Spek Produk'!O78,'Spek Produk'!O136)</f>
        <v>16.77</v>
      </c>
      <c r="P20" s="26">
        <f>IF('Simulasi Premi 1 (Personal)'!$E$38="Menurun",'Spek Produk'!P78,'Spek Produk'!P136)</f>
        <v>22.28</v>
      </c>
      <c r="Q20" s="26">
        <f>IF('Simulasi Premi 1 (Personal)'!$E$38="Menurun",'Spek Produk'!Q78,'Spek Produk'!Q136)</f>
        <v>28.12</v>
      </c>
      <c r="R20" s="26">
        <f>IF('Simulasi Premi 1 (Personal)'!$E$38="Menurun",'Spek Produk'!R78,'Spek Produk'!R136)</f>
        <v>34.26</v>
      </c>
      <c r="S20" s="26">
        <f>IF('Simulasi Premi 1 (Personal)'!$E$38="Menurun",'Spek Produk'!S78,'Spek Produk'!S136)</f>
        <v>40.68</v>
      </c>
      <c r="T20" s="26">
        <f>IF('Simulasi Premi 1 (Personal)'!$E$38="Menurun",'Spek Produk'!T78,'Spek Produk'!T136)</f>
        <v>47.4</v>
      </c>
      <c r="U20" s="26">
        <f>IF('Simulasi Premi 1 (Personal)'!$E$38="Menurun",'Spek Produk'!U78,'Spek Produk'!U136)</f>
        <v>54.4</v>
      </c>
      <c r="V20" s="26">
        <f>IF('Simulasi Premi 1 (Personal)'!$E$38="Menurun",'Spek Produk'!V78,'Spek Produk'!V136)</f>
        <v>61.68</v>
      </c>
      <c r="W20" s="26">
        <f>IF('Simulasi Premi 1 (Personal)'!$E$38="Menurun",'Spek Produk'!W78,'Spek Produk'!W136)</f>
        <v>66.66</v>
      </c>
      <c r="X20" s="26">
        <f>IF('Simulasi Premi 1 (Personal)'!$E$38="Menurun",'Spek Produk'!X78,'Spek Produk'!X136)</f>
        <v>71.64</v>
      </c>
      <c r="Y20" s="26">
        <f>IF('Simulasi Premi 1 (Personal)'!$E$38="Menurun",'Spek Produk'!Y78,'Spek Produk'!Y136)</f>
        <v>76.62</v>
      </c>
      <c r="Z20" s="26">
        <f>IF('Simulasi Premi 1 (Personal)'!$E$38="Menurun",'Spek Produk'!Z78,'Spek Produk'!Z136)</f>
        <v>81.599999999999994</v>
      </c>
      <c r="AA20" s="26">
        <f>IF('Simulasi Premi 1 (Personal)'!$E$38="Menurun",'Spek Produk'!AA78,'Spek Produk'!AA136)</f>
        <v>86.57</v>
      </c>
      <c r="AB20" s="26">
        <f>IF('Simulasi Premi 1 (Personal)'!$E$38="Menurun",'Spek Produk'!AB78,'Spek Produk'!AB136)</f>
        <v>90.23</v>
      </c>
      <c r="AC20" s="26">
        <f>IF('Simulasi Premi 1 (Personal)'!$E$38="Menurun",'Spek Produk'!AC78,'Spek Produk'!AC136)</f>
        <v>93.89</v>
      </c>
      <c r="AD20" s="26">
        <f>IF('Simulasi Premi 1 (Personal)'!$E$38="Menurun",'Spek Produk'!AD78,'Spek Produk'!AD136)</f>
        <v>97.55</v>
      </c>
      <c r="AE20" s="26">
        <f>IF('Simulasi Premi 1 (Personal)'!$E$38="Menurun",'Spek Produk'!AE78,'Spek Produk'!AE136)</f>
        <v>101.21</v>
      </c>
      <c r="AF20" s="26">
        <f>IF('Simulasi Premi 1 (Personal)'!$E$38="Menurun",'Spek Produk'!AF78,'Spek Produk'!AF136)</f>
        <v>104.89</v>
      </c>
      <c r="AG20" s="26">
        <f>IF('Simulasi Premi 1 (Personal)'!$E$38="Menurun",'Spek Produk'!AG78,'Spek Produk'!AG136)</f>
        <v>0</v>
      </c>
      <c r="AH20" s="26">
        <f>IF('Simulasi Premi 1 (Personal)'!$E$38="Menurun",'Spek Produk'!AH78,'Spek Produk'!AH136)</f>
        <v>0</v>
      </c>
      <c r="AI20" s="26">
        <f>IF('Simulasi Premi 1 (Personal)'!$E$38="Menurun",'Spek Produk'!AI78,'Spek Produk'!AI136)</f>
        <v>0</v>
      </c>
      <c r="AJ20" s="26">
        <f>IF('Simulasi Premi 1 (Personal)'!$E$38="Menurun",'Spek Produk'!AJ78,'Spek Produk'!AJ136)</f>
        <v>0</v>
      </c>
      <c r="AK20" s="26">
        <f>IF('Simulasi Premi 1 (Personal)'!$E$38="Menurun",'Spek Produk'!AK78,'Spek Produk'!AK136)</f>
        <v>0</v>
      </c>
      <c r="AL20" s="26">
        <f>IF('Simulasi Premi 1 (Personal)'!$E$38="Menurun",'Spek Produk'!AL78,'Spek Produk'!AL136)</f>
        <v>0</v>
      </c>
      <c r="AM20" s="26">
        <f>IF('Simulasi Premi 1 (Personal)'!$E$38="Menurun",'Spek Produk'!AM78,'Spek Produk'!AM136)</f>
        <v>0</v>
      </c>
      <c r="AN20" s="26">
        <f>IF('Simulasi Premi 1 (Personal)'!$E$38="Menurun",'Spek Produk'!AN78,'Spek Produk'!AN136)</f>
        <v>0</v>
      </c>
      <c r="AO20" s="26">
        <f>IF('Simulasi Premi 1 (Personal)'!$E$38="Menurun",'Spek Produk'!AO78,'Spek Produk'!AO136)</f>
        <v>0</v>
      </c>
      <c r="AP20" s="26">
        <f>IF('Simulasi Premi 1 (Personal)'!$E$38="Menurun",'Spek Produk'!AP78,'Spek Produk'!AP136)</f>
        <v>0</v>
      </c>
      <c r="AR20" s="29" t="s">
        <v>50</v>
      </c>
      <c r="AS20" s="30" t="s">
        <v>55</v>
      </c>
    </row>
    <row r="21" spans="2:45" x14ac:dyDescent="0.35">
      <c r="B21" s="7"/>
      <c r="C21" s="9" t="s">
        <v>89</v>
      </c>
      <c r="D21" s="9"/>
      <c r="E21" s="11" t="s">
        <v>24</v>
      </c>
      <c r="F21" s="138" t="s">
        <v>97</v>
      </c>
      <c r="G21" s="139"/>
      <c r="H21" s="139"/>
      <c r="I21" s="140"/>
      <c r="J21" s="10"/>
      <c r="L21" s="24">
        <f t="shared" si="0"/>
        <v>33</v>
      </c>
      <c r="M21" s="26">
        <f>IF('Simulasi Premi 1 (Personal)'!$E$38="Menurun",'Spek Produk'!M79,'Spek Produk'!M137)</f>
        <v>6.85</v>
      </c>
      <c r="N21" s="26">
        <f>IF('Simulasi Premi 1 (Personal)'!$E$38="Menurun",'Spek Produk'!N79,'Spek Produk'!N137)</f>
        <v>11.62</v>
      </c>
      <c r="O21" s="26">
        <f>IF('Simulasi Premi 1 (Personal)'!$E$38="Menurun",'Spek Produk'!O79,'Spek Produk'!O137)</f>
        <v>16.77</v>
      </c>
      <c r="P21" s="26">
        <f>IF('Simulasi Premi 1 (Personal)'!$E$38="Menurun",'Spek Produk'!P79,'Spek Produk'!P137)</f>
        <v>22.28</v>
      </c>
      <c r="Q21" s="26">
        <f>IF('Simulasi Premi 1 (Personal)'!$E$38="Menurun",'Spek Produk'!Q79,'Spek Produk'!Q137)</f>
        <v>28.12</v>
      </c>
      <c r="R21" s="26">
        <f>IF('Simulasi Premi 1 (Personal)'!$E$38="Menurun",'Spek Produk'!R79,'Spek Produk'!R137)</f>
        <v>34.26</v>
      </c>
      <c r="S21" s="26">
        <f>IF('Simulasi Premi 1 (Personal)'!$E$38="Menurun",'Spek Produk'!S79,'Spek Produk'!S137)</f>
        <v>40.68</v>
      </c>
      <c r="T21" s="26">
        <f>IF('Simulasi Premi 1 (Personal)'!$E$38="Menurun",'Spek Produk'!T79,'Spek Produk'!T137)</f>
        <v>47.4</v>
      </c>
      <c r="U21" s="26">
        <f>IF('Simulasi Premi 1 (Personal)'!$E$38="Menurun",'Spek Produk'!U79,'Spek Produk'!U137)</f>
        <v>54.4</v>
      </c>
      <c r="V21" s="26">
        <f>IF('Simulasi Premi 1 (Personal)'!$E$38="Menurun",'Spek Produk'!V79,'Spek Produk'!V137)</f>
        <v>61.68</v>
      </c>
      <c r="W21" s="26">
        <f>IF('Simulasi Premi 1 (Personal)'!$E$38="Menurun",'Spek Produk'!W79,'Spek Produk'!W137)</f>
        <v>66.66</v>
      </c>
      <c r="X21" s="26">
        <f>IF('Simulasi Premi 1 (Personal)'!$E$38="Menurun",'Spek Produk'!X79,'Spek Produk'!X137)</f>
        <v>71.64</v>
      </c>
      <c r="Y21" s="26">
        <f>IF('Simulasi Premi 1 (Personal)'!$E$38="Menurun",'Spek Produk'!Y79,'Spek Produk'!Y137)</f>
        <v>76.62</v>
      </c>
      <c r="Z21" s="26">
        <f>IF('Simulasi Premi 1 (Personal)'!$E$38="Menurun",'Spek Produk'!Z79,'Spek Produk'!Z137)</f>
        <v>81.599999999999994</v>
      </c>
      <c r="AA21" s="26">
        <f>IF('Simulasi Premi 1 (Personal)'!$E$38="Menurun",'Spek Produk'!AA79,'Spek Produk'!AA137)</f>
        <v>86.57</v>
      </c>
      <c r="AB21" s="26">
        <f>IF('Simulasi Premi 1 (Personal)'!$E$38="Menurun",'Spek Produk'!AB79,'Spek Produk'!AB137)</f>
        <v>90.23</v>
      </c>
      <c r="AC21" s="26">
        <f>IF('Simulasi Premi 1 (Personal)'!$E$38="Menurun",'Spek Produk'!AC79,'Spek Produk'!AC137)</f>
        <v>93.89</v>
      </c>
      <c r="AD21" s="26">
        <f>IF('Simulasi Premi 1 (Personal)'!$E$38="Menurun",'Spek Produk'!AD79,'Spek Produk'!AD137)</f>
        <v>97.55</v>
      </c>
      <c r="AE21" s="26">
        <f>IF('Simulasi Premi 1 (Personal)'!$E$38="Menurun",'Spek Produk'!AE79,'Spek Produk'!AE137)</f>
        <v>101.21</v>
      </c>
      <c r="AF21" s="26">
        <f>IF('Simulasi Premi 1 (Personal)'!$E$38="Menurun",'Spek Produk'!AF79,'Spek Produk'!AF137)</f>
        <v>104.89</v>
      </c>
      <c r="AG21" s="26">
        <f>IF('Simulasi Premi 1 (Personal)'!$E$38="Menurun",'Spek Produk'!AG79,'Spek Produk'!AG137)</f>
        <v>0</v>
      </c>
      <c r="AH21" s="26">
        <f>IF('Simulasi Premi 1 (Personal)'!$E$38="Menurun",'Spek Produk'!AH79,'Spek Produk'!AH137)</f>
        <v>0</v>
      </c>
      <c r="AI21" s="26">
        <f>IF('Simulasi Premi 1 (Personal)'!$E$38="Menurun",'Spek Produk'!AI79,'Spek Produk'!AI137)</f>
        <v>0</v>
      </c>
      <c r="AJ21" s="26">
        <f>IF('Simulasi Premi 1 (Personal)'!$E$38="Menurun",'Spek Produk'!AJ79,'Spek Produk'!AJ137)</f>
        <v>0</v>
      </c>
      <c r="AK21" s="26">
        <f>IF('Simulasi Premi 1 (Personal)'!$E$38="Menurun",'Spek Produk'!AK79,'Spek Produk'!AK137)</f>
        <v>0</v>
      </c>
      <c r="AL21" s="26">
        <f>IF('Simulasi Premi 1 (Personal)'!$E$38="Menurun",'Spek Produk'!AL79,'Spek Produk'!AL137)</f>
        <v>0</v>
      </c>
      <c r="AM21" s="26">
        <f>IF('Simulasi Premi 1 (Personal)'!$E$38="Menurun",'Spek Produk'!AM79,'Spek Produk'!AM137)</f>
        <v>0</v>
      </c>
      <c r="AN21" s="26">
        <f>IF('Simulasi Premi 1 (Personal)'!$E$38="Menurun",'Spek Produk'!AN79,'Spek Produk'!AN137)</f>
        <v>0</v>
      </c>
      <c r="AO21" s="26">
        <f>IF('Simulasi Premi 1 (Personal)'!$E$38="Menurun",'Spek Produk'!AO79,'Spek Produk'!AO137)</f>
        <v>0</v>
      </c>
      <c r="AP21" s="26">
        <f>IF('Simulasi Premi 1 (Personal)'!$E$38="Menurun",'Spek Produk'!AP79,'Spek Produk'!AP137)</f>
        <v>0</v>
      </c>
      <c r="AR21" s="29" t="s">
        <v>51</v>
      </c>
      <c r="AS21" s="30" t="s">
        <v>57</v>
      </c>
    </row>
    <row r="22" spans="2:45" x14ac:dyDescent="0.35">
      <c r="B22" s="7"/>
      <c r="C22" s="12" t="s">
        <v>38</v>
      </c>
      <c r="D22" s="12"/>
      <c r="E22" s="11" t="s">
        <v>24</v>
      </c>
      <c r="F22" s="13" t="s">
        <v>39</v>
      </c>
      <c r="G22" s="14">
        <v>0</v>
      </c>
      <c r="H22" s="13" t="s">
        <v>40</v>
      </c>
      <c r="I22" s="14">
        <v>20</v>
      </c>
      <c r="J22" s="10"/>
      <c r="L22" s="24">
        <f t="shared" si="0"/>
        <v>34</v>
      </c>
      <c r="M22" s="26">
        <f>IF('Simulasi Premi 1 (Personal)'!$E$38="Menurun",'Spek Produk'!M80,'Spek Produk'!M138)</f>
        <v>6.85</v>
      </c>
      <c r="N22" s="26">
        <f>IF('Simulasi Premi 1 (Personal)'!$E$38="Menurun",'Spek Produk'!N80,'Spek Produk'!N138)</f>
        <v>11.62</v>
      </c>
      <c r="O22" s="26">
        <f>IF('Simulasi Premi 1 (Personal)'!$E$38="Menurun",'Spek Produk'!O80,'Spek Produk'!O138)</f>
        <v>16.77</v>
      </c>
      <c r="P22" s="26">
        <f>IF('Simulasi Premi 1 (Personal)'!$E$38="Menurun",'Spek Produk'!P80,'Spek Produk'!P138)</f>
        <v>22.28</v>
      </c>
      <c r="Q22" s="26">
        <f>IF('Simulasi Premi 1 (Personal)'!$E$38="Menurun",'Spek Produk'!Q80,'Spek Produk'!Q138)</f>
        <v>28.12</v>
      </c>
      <c r="R22" s="26">
        <f>IF('Simulasi Premi 1 (Personal)'!$E$38="Menurun",'Spek Produk'!R80,'Spek Produk'!R138)</f>
        <v>34.26</v>
      </c>
      <c r="S22" s="26">
        <f>IF('Simulasi Premi 1 (Personal)'!$E$38="Menurun",'Spek Produk'!S80,'Spek Produk'!S138)</f>
        <v>40.68</v>
      </c>
      <c r="T22" s="26">
        <f>IF('Simulasi Premi 1 (Personal)'!$E$38="Menurun",'Spek Produk'!T80,'Spek Produk'!T138)</f>
        <v>47.4</v>
      </c>
      <c r="U22" s="26">
        <f>IF('Simulasi Premi 1 (Personal)'!$E$38="Menurun",'Spek Produk'!U80,'Spek Produk'!U138)</f>
        <v>54.4</v>
      </c>
      <c r="V22" s="26">
        <f>IF('Simulasi Premi 1 (Personal)'!$E$38="Menurun",'Spek Produk'!V80,'Spek Produk'!V138)</f>
        <v>61.68</v>
      </c>
      <c r="W22" s="26">
        <f>IF('Simulasi Premi 1 (Personal)'!$E$38="Menurun",'Spek Produk'!W80,'Spek Produk'!W138)</f>
        <v>66.66</v>
      </c>
      <c r="X22" s="26">
        <f>IF('Simulasi Premi 1 (Personal)'!$E$38="Menurun",'Spek Produk'!X80,'Spek Produk'!X138)</f>
        <v>71.64</v>
      </c>
      <c r="Y22" s="26">
        <f>IF('Simulasi Premi 1 (Personal)'!$E$38="Menurun",'Spek Produk'!Y80,'Spek Produk'!Y138)</f>
        <v>76.62</v>
      </c>
      <c r="Z22" s="26">
        <f>IF('Simulasi Premi 1 (Personal)'!$E$38="Menurun",'Spek Produk'!Z80,'Spek Produk'!Z138)</f>
        <v>81.599999999999994</v>
      </c>
      <c r="AA22" s="26">
        <f>IF('Simulasi Premi 1 (Personal)'!$E$38="Menurun",'Spek Produk'!AA80,'Spek Produk'!AA138)</f>
        <v>86.57</v>
      </c>
      <c r="AB22" s="26">
        <f>IF('Simulasi Premi 1 (Personal)'!$E$38="Menurun",'Spek Produk'!AB80,'Spek Produk'!AB138)</f>
        <v>90.23</v>
      </c>
      <c r="AC22" s="26">
        <f>IF('Simulasi Premi 1 (Personal)'!$E$38="Menurun",'Spek Produk'!AC80,'Spek Produk'!AC138)</f>
        <v>93.89</v>
      </c>
      <c r="AD22" s="26">
        <f>IF('Simulasi Premi 1 (Personal)'!$E$38="Menurun",'Spek Produk'!AD80,'Spek Produk'!AD138)</f>
        <v>97.55</v>
      </c>
      <c r="AE22" s="26">
        <f>IF('Simulasi Premi 1 (Personal)'!$E$38="Menurun",'Spek Produk'!AE80,'Spek Produk'!AE138)</f>
        <v>101.21</v>
      </c>
      <c r="AF22" s="26">
        <f>IF('Simulasi Premi 1 (Personal)'!$E$38="Menurun",'Spek Produk'!AF80,'Spek Produk'!AF138)</f>
        <v>104.89</v>
      </c>
      <c r="AG22" s="26">
        <f>IF('Simulasi Premi 1 (Personal)'!$E$38="Menurun",'Spek Produk'!AG80,'Spek Produk'!AG138)</f>
        <v>0</v>
      </c>
      <c r="AH22" s="26">
        <f>IF('Simulasi Premi 1 (Personal)'!$E$38="Menurun",'Spek Produk'!AH80,'Spek Produk'!AH138)</f>
        <v>0</v>
      </c>
      <c r="AI22" s="26">
        <f>IF('Simulasi Premi 1 (Personal)'!$E$38="Menurun",'Spek Produk'!AI80,'Spek Produk'!AI138)</f>
        <v>0</v>
      </c>
      <c r="AJ22" s="26">
        <f>IF('Simulasi Premi 1 (Personal)'!$E$38="Menurun",'Spek Produk'!AJ80,'Spek Produk'!AJ138)</f>
        <v>0</v>
      </c>
      <c r="AK22" s="26">
        <f>IF('Simulasi Premi 1 (Personal)'!$E$38="Menurun",'Spek Produk'!AK80,'Spek Produk'!AK138)</f>
        <v>0</v>
      </c>
      <c r="AL22" s="26">
        <f>IF('Simulasi Premi 1 (Personal)'!$E$38="Menurun",'Spek Produk'!AL80,'Spek Produk'!AL138)</f>
        <v>0</v>
      </c>
      <c r="AM22" s="26">
        <f>IF('Simulasi Premi 1 (Personal)'!$E$38="Menurun",'Spek Produk'!AM80,'Spek Produk'!AM138)</f>
        <v>0</v>
      </c>
      <c r="AN22" s="26">
        <f>IF('Simulasi Premi 1 (Personal)'!$E$38="Menurun",'Spek Produk'!AN80,'Spek Produk'!AN138)</f>
        <v>0</v>
      </c>
      <c r="AO22" s="26">
        <f>IF('Simulasi Premi 1 (Personal)'!$E$38="Menurun",'Spek Produk'!AO80,'Spek Produk'!AO138)</f>
        <v>0</v>
      </c>
      <c r="AP22" s="26">
        <f>IF('Simulasi Premi 1 (Personal)'!$E$38="Menurun",'Spek Produk'!AP80,'Spek Produk'!AP138)</f>
        <v>0</v>
      </c>
      <c r="AR22" s="29" t="s">
        <v>47</v>
      </c>
      <c r="AS22" s="30" t="s">
        <v>56</v>
      </c>
    </row>
    <row r="23" spans="2:45" x14ac:dyDescent="0.35">
      <c r="B23" s="7"/>
      <c r="C23" s="12" t="s">
        <v>41</v>
      </c>
      <c r="D23" s="12"/>
      <c r="E23" s="11" t="s">
        <v>24</v>
      </c>
      <c r="F23" s="13" t="s">
        <v>39</v>
      </c>
      <c r="G23" s="14">
        <v>20</v>
      </c>
      <c r="H23" s="13" t="s">
        <v>40</v>
      </c>
      <c r="I23" s="14">
        <v>60</v>
      </c>
      <c r="J23" s="10"/>
      <c r="L23" s="24">
        <f t="shared" si="0"/>
        <v>35</v>
      </c>
      <c r="M23" s="26">
        <f>IF('Simulasi Premi 1 (Personal)'!$E$38="Menurun",'Spek Produk'!M81,'Spek Produk'!M139)</f>
        <v>6.85</v>
      </c>
      <c r="N23" s="26">
        <f>IF('Simulasi Premi 1 (Personal)'!$E$38="Menurun",'Spek Produk'!N81,'Spek Produk'!N139)</f>
        <v>11.62</v>
      </c>
      <c r="O23" s="26">
        <f>IF('Simulasi Premi 1 (Personal)'!$E$38="Menurun",'Spek Produk'!O81,'Spek Produk'!O139)</f>
        <v>16.77</v>
      </c>
      <c r="P23" s="26">
        <f>IF('Simulasi Premi 1 (Personal)'!$E$38="Menurun",'Spek Produk'!P81,'Spek Produk'!P139)</f>
        <v>22.28</v>
      </c>
      <c r="Q23" s="26">
        <f>IF('Simulasi Premi 1 (Personal)'!$E$38="Menurun",'Spek Produk'!Q81,'Spek Produk'!Q139)</f>
        <v>28.12</v>
      </c>
      <c r="R23" s="26">
        <f>IF('Simulasi Premi 1 (Personal)'!$E$38="Menurun",'Spek Produk'!R81,'Spek Produk'!R139)</f>
        <v>34.26</v>
      </c>
      <c r="S23" s="26">
        <f>IF('Simulasi Premi 1 (Personal)'!$E$38="Menurun",'Spek Produk'!S81,'Spek Produk'!S139)</f>
        <v>40.68</v>
      </c>
      <c r="T23" s="26">
        <f>IF('Simulasi Premi 1 (Personal)'!$E$38="Menurun",'Spek Produk'!T81,'Spek Produk'!T139)</f>
        <v>47.4</v>
      </c>
      <c r="U23" s="26">
        <f>IF('Simulasi Premi 1 (Personal)'!$E$38="Menurun",'Spek Produk'!U81,'Spek Produk'!U139)</f>
        <v>54.4</v>
      </c>
      <c r="V23" s="26">
        <f>IF('Simulasi Premi 1 (Personal)'!$E$38="Menurun",'Spek Produk'!V81,'Spek Produk'!V139)</f>
        <v>61.68</v>
      </c>
      <c r="W23" s="26">
        <f>IF('Simulasi Premi 1 (Personal)'!$E$38="Menurun",'Spek Produk'!W81,'Spek Produk'!W139)</f>
        <v>66.66</v>
      </c>
      <c r="X23" s="26">
        <f>IF('Simulasi Premi 1 (Personal)'!$E$38="Menurun",'Spek Produk'!X81,'Spek Produk'!X139)</f>
        <v>71.64</v>
      </c>
      <c r="Y23" s="26">
        <f>IF('Simulasi Premi 1 (Personal)'!$E$38="Menurun",'Spek Produk'!Y81,'Spek Produk'!Y139)</f>
        <v>76.62</v>
      </c>
      <c r="Z23" s="26">
        <f>IF('Simulasi Premi 1 (Personal)'!$E$38="Menurun",'Spek Produk'!Z81,'Spek Produk'!Z139)</f>
        <v>81.599999999999994</v>
      </c>
      <c r="AA23" s="26">
        <f>IF('Simulasi Premi 1 (Personal)'!$E$38="Menurun",'Spek Produk'!AA81,'Spek Produk'!AA139)</f>
        <v>86.57</v>
      </c>
      <c r="AB23" s="26">
        <f>IF('Simulasi Premi 1 (Personal)'!$E$38="Menurun",'Spek Produk'!AB81,'Spek Produk'!AB139)</f>
        <v>90.23</v>
      </c>
      <c r="AC23" s="26">
        <f>IF('Simulasi Premi 1 (Personal)'!$E$38="Menurun",'Spek Produk'!AC81,'Spek Produk'!AC139)</f>
        <v>93.89</v>
      </c>
      <c r="AD23" s="26">
        <f>IF('Simulasi Premi 1 (Personal)'!$E$38="Menurun",'Spek Produk'!AD81,'Spek Produk'!AD139)</f>
        <v>97.55</v>
      </c>
      <c r="AE23" s="26">
        <f>IF('Simulasi Premi 1 (Personal)'!$E$38="Menurun",'Spek Produk'!AE81,'Spek Produk'!AE139)</f>
        <v>101.21</v>
      </c>
      <c r="AF23" s="26">
        <f>IF('Simulasi Premi 1 (Personal)'!$E$38="Menurun",'Spek Produk'!AF81,'Spek Produk'!AF139)</f>
        <v>104.89</v>
      </c>
      <c r="AG23" s="26">
        <f>IF('Simulasi Premi 1 (Personal)'!$E$38="Menurun",'Spek Produk'!AG81,'Spek Produk'!AG139)</f>
        <v>0</v>
      </c>
      <c r="AH23" s="26">
        <f>IF('Simulasi Premi 1 (Personal)'!$E$38="Menurun",'Spek Produk'!AH81,'Spek Produk'!AH139)</f>
        <v>0</v>
      </c>
      <c r="AI23" s="26">
        <f>IF('Simulasi Premi 1 (Personal)'!$E$38="Menurun",'Spek Produk'!AI81,'Spek Produk'!AI139)</f>
        <v>0</v>
      </c>
      <c r="AJ23" s="26">
        <f>IF('Simulasi Premi 1 (Personal)'!$E$38="Menurun",'Spek Produk'!AJ81,'Spek Produk'!AJ139)</f>
        <v>0</v>
      </c>
      <c r="AK23" s="26">
        <f>IF('Simulasi Premi 1 (Personal)'!$E$38="Menurun",'Spek Produk'!AK81,'Spek Produk'!AK139)</f>
        <v>0</v>
      </c>
      <c r="AL23" s="26">
        <f>IF('Simulasi Premi 1 (Personal)'!$E$38="Menurun",'Spek Produk'!AL81,'Spek Produk'!AL139)</f>
        <v>0</v>
      </c>
      <c r="AM23" s="26">
        <f>IF('Simulasi Premi 1 (Personal)'!$E$38="Menurun",'Spek Produk'!AM81,'Spek Produk'!AM139)</f>
        <v>0</v>
      </c>
      <c r="AN23" s="26">
        <f>IF('Simulasi Premi 1 (Personal)'!$E$38="Menurun",'Spek Produk'!AN81,'Spek Produk'!AN139)</f>
        <v>0</v>
      </c>
      <c r="AO23" s="26">
        <f>IF('Simulasi Premi 1 (Personal)'!$E$38="Menurun",'Spek Produk'!AO81,'Spek Produk'!AO139)</f>
        <v>0</v>
      </c>
      <c r="AP23" s="26">
        <f>IF('Simulasi Premi 1 (Personal)'!$E$38="Menurun",'Spek Produk'!AP81,'Spek Produk'!AP139)</f>
        <v>0</v>
      </c>
      <c r="AR23" s="29" t="s">
        <v>52</v>
      </c>
      <c r="AS23" s="30" t="s">
        <v>55</v>
      </c>
    </row>
    <row r="24" spans="2:45" x14ac:dyDescent="0.35">
      <c r="B24" s="7"/>
      <c r="C24" s="12" t="s">
        <v>42</v>
      </c>
      <c r="D24" s="12"/>
      <c r="E24" s="11" t="s">
        <v>24</v>
      </c>
      <c r="F24" s="136" t="s">
        <v>43</v>
      </c>
      <c r="G24" s="137"/>
      <c r="H24" s="15">
        <v>70</v>
      </c>
      <c r="I24" s="16"/>
      <c r="J24" s="17"/>
      <c r="L24" s="24">
        <f t="shared" si="0"/>
        <v>36</v>
      </c>
      <c r="M24" s="26">
        <f>IF('Simulasi Premi 1 (Personal)'!$E$38="Menurun",'Spek Produk'!M82,'Spek Produk'!M140)</f>
        <v>6.85</v>
      </c>
      <c r="N24" s="26">
        <f>IF('Simulasi Premi 1 (Personal)'!$E$38="Menurun",'Spek Produk'!N82,'Spek Produk'!N140)</f>
        <v>11.62</v>
      </c>
      <c r="O24" s="26">
        <f>IF('Simulasi Premi 1 (Personal)'!$E$38="Menurun",'Spek Produk'!O82,'Spek Produk'!O140)</f>
        <v>16.77</v>
      </c>
      <c r="P24" s="26">
        <f>IF('Simulasi Premi 1 (Personal)'!$E$38="Menurun",'Spek Produk'!P82,'Spek Produk'!P140)</f>
        <v>22.28</v>
      </c>
      <c r="Q24" s="26">
        <f>IF('Simulasi Premi 1 (Personal)'!$E$38="Menurun",'Spek Produk'!Q82,'Spek Produk'!Q140)</f>
        <v>28.12</v>
      </c>
      <c r="R24" s="26">
        <f>IF('Simulasi Premi 1 (Personal)'!$E$38="Menurun",'Spek Produk'!R82,'Spek Produk'!R140)</f>
        <v>34.26</v>
      </c>
      <c r="S24" s="26">
        <f>IF('Simulasi Premi 1 (Personal)'!$E$38="Menurun",'Spek Produk'!S82,'Spek Produk'!S140)</f>
        <v>40.68</v>
      </c>
      <c r="T24" s="26">
        <f>IF('Simulasi Premi 1 (Personal)'!$E$38="Menurun",'Spek Produk'!T82,'Spek Produk'!T140)</f>
        <v>47.4</v>
      </c>
      <c r="U24" s="26">
        <f>IF('Simulasi Premi 1 (Personal)'!$E$38="Menurun",'Spek Produk'!U82,'Spek Produk'!U140)</f>
        <v>54.4</v>
      </c>
      <c r="V24" s="26">
        <f>IF('Simulasi Premi 1 (Personal)'!$E$38="Menurun",'Spek Produk'!V82,'Spek Produk'!V140)</f>
        <v>61.68</v>
      </c>
      <c r="W24" s="26">
        <f>IF('Simulasi Premi 1 (Personal)'!$E$38="Menurun",'Spek Produk'!W82,'Spek Produk'!W140)</f>
        <v>66.66</v>
      </c>
      <c r="X24" s="26">
        <f>IF('Simulasi Premi 1 (Personal)'!$E$38="Menurun",'Spek Produk'!X82,'Spek Produk'!X140)</f>
        <v>71.64</v>
      </c>
      <c r="Y24" s="26">
        <f>IF('Simulasi Premi 1 (Personal)'!$E$38="Menurun",'Spek Produk'!Y82,'Spek Produk'!Y140)</f>
        <v>76.62</v>
      </c>
      <c r="Z24" s="26">
        <f>IF('Simulasi Premi 1 (Personal)'!$E$38="Menurun",'Spek Produk'!Z82,'Spek Produk'!Z140)</f>
        <v>81.599999999999994</v>
      </c>
      <c r="AA24" s="26">
        <f>IF('Simulasi Premi 1 (Personal)'!$E$38="Menurun",'Spek Produk'!AA82,'Spek Produk'!AA140)</f>
        <v>86.57</v>
      </c>
      <c r="AB24" s="26">
        <f>IF('Simulasi Premi 1 (Personal)'!$E$38="Menurun",'Spek Produk'!AB82,'Spek Produk'!AB140)</f>
        <v>90.23</v>
      </c>
      <c r="AC24" s="26">
        <f>IF('Simulasi Premi 1 (Personal)'!$E$38="Menurun",'Spek Produk'!AC82,'Spek Produk'!AC140)</f>
        <v>93.89</v>
      </c>
      <c r="AD24" s="26">
        <f>IF('Simulasi Premi 1 (Personal)'!$E$38="Menurun",'Spek Produk'!AD82,'Spek Produk'!AD140)</f>
        <v>97.55</v>
      </c>
      <c r="AE24" s="26">
        <f>IF('Simulasi Premi 1 (Personal)'!$E$38="Menurun",'Spek Produk'!AE82,'Spek Produk'!AE140)</f>
        <v>101.21</v>
      </c>
      <c r="AF24" s="26">
        <f>IF('Simulasi Premi 1 (Personal)'!$E$38="Menurun",'Spek Produk'!AF82,'Spek Produk'!AF140)</f>
        <v>104.89</v>
      </c>
      <c r="AG24" s="26">
        <f>IF('Simulasi Premi 1 (Personal)'!$E$38="Menurun",'Spek Produk'!AG82,'Spek Produk'!AG140)</f>
        <v>0</v>
      </c>
      <c r="AH24" s="26">
        <f>IF('Simulasi Premi 1 (Personal)'!$E$38="Menurun",'Spek Produk'!AH82,'Spek Produk'!AH140)</f>
        <v>0</v>
      </c>
      <c r="AI24" s="26">
        <f>IF('Simulasi Premi 1 (Personal)'!$E$38="Menurun",'Spek Produk'!AI82,'Spek Produk'!AI140)</f>
        <v>0</v>
      </c>
      <c r="AJ24" s="26">
        <f>IF('Simulasi Premi 1 (Personal)'!$E$38="Menurun",'Spek Produk'!AJ82,'Spek Produk'!AJ140)</f>
        <v>0</v>
      </c>
      <c r="AK24" s="26">
        <f>IF('Simulasi Premi 1 (Personal)'!$E$38="Menurun",'Spek Produk'!AK82,'Spek Produk'!AK140)</f>
        <v>0</v>
      </c>
      <c r="AL24" s="26">
        <f>IF('Simulasi Premi 1 (Personal)'!$E$38="Menurun",'Spek Produk'!AL82,'Spek Produk'!AL140)</f>
        <v>0</v>
      </c>
      <c r="AM24" s="26">
        <f>IF('Simulasi Premi 1 (Personal)'!$E$38="Menurun",'Spek Produk'!AM82,'Spek Produk'!AM140)</f>
        <v>0</v>
      </c>
      <c r="AN24" s="26">
        <f>IF('Simulasi Premi 1 (Personal)'!$E$38="Menurun",'Spek Produk'!AN82,'Spek Produk'!AN140)</f>
        <v>0</v>
      </c>
      <c r="AO24" s="26">
        <f>IF('Simulasi Premi 1 (Personal)'!$E$38="Menurun",'Spek Produk'!AO82,'Spek Produk'!AO140)</f>
        <v>0</v>
      </c>
      <c r="AP24" s="26">
        <f>IF('Simulasi Premi 1 (Personal)'!$E$38="Menurun",'Spek Produk'!AP82,'Spek Produk'!AP140)</f>
        <v>0</v>
      </c>
    </row>
    <row r="25" spans="2:45" x14ac:dyDescent="0.35">
      <c r="B25" s="18"/>
      <c r="C25" s="19"/>
      <c r="D25" s="19"/>
      <c r="E25" s="20"/>
      <c r="F25" s="20"/>
      <c r="G25" s="20"/>
      <c r="H25" s="21"/>
      <c r="I25" s="21"/>
      <c r="J25" s="22"/>
      <c r="L25" s="24">
        <f t="shared" si="0"/>
        <v>37</v>
      </c>
      <c r="M25" s="26">
        <f>IF('Simulasi Premi 1 (Personal)'!$E$38="Menurun",'Spek Produk'!M83,'Spek Produk'!M141)</f>
        <v>6.85</v>
      </c>
      <c r="N25" s="26">
        <f>IF('Simulasi Premi 1 (Personal)'!$E$38="Menurun",'Spek Produk'!N83,'Spek Produk'!N141)</f>
        <v>11.62</v>
      </c>
      <c r="O25" s="26">
        <f>IF('Simulasi Premi 1 (Personal)'!$E$38="Menurun",'Spek Produk'!O83,'Spek Produk'!O141)</f>
        <v>16.77</v>
      </c>
      <c r="P25" s="26">
        <f>IF('Simulasi Premi 1 (Personal)'!$E$38="Menurun",'Spek Produk'!P83,'Spek Produk'!P141)</f>
        <v>22.28</v>
      </c>
      <c r="Q25" s="26">
        <f>IF('Simulasi Premi 1 (Personal)'!$E$38="Menurun",'Spek Produk'!Q83,'Spek Produk'!Q141)</f>
        <v>28.12</v>
      </c>
      <c r="R25" s="26">
        <f>IF('Simulasi Premi 1 (Personal)'!$E$38="Menurun",'Spek Produk'!R83,'Spek Produk'!R141)</f>
        <v>34.26</v>
      </c>
      <c r="S25" s="26">
        <f>IF('Simulasi Premi 1 (Personal)'!$E$38="Menurun",'Spek Produk'!S83,'Spek Produk'!S141)</f>
        <v>40.68</v>
      </c>
      <c r="T25" s="26">
        <f>IF('Simulasi Premi 1 (Personal)'!$E$38="Menurun",'Spek Produk'!T83,'Spek Produk'!T141)</f>
        <v>47.4</v>
      </c>
      <c r="U25" s="26">
        <f>IF('Simulasi Premi 1 (Personal)'!$E$38="Menurun",'Spek Produk'!U83,'Spek Produk'!U141)</f>
        <v>54.4</v>
      </c>
      <c r="V25" s="26">
        <f>IF('Simulasi Premi 1 (Personal)'!$E$38="Menurun",'Spek Produk'!V83,'Spek Produk'!V141)</f>
        <v>61.68</v>
      </c>
      <c r="W25" s="26">
        <f>IF('Simulasi Premi 1 (Personal)'!$E$38="Menurun",'Spek Produk'!W83,'Spek Produk'!W141)</f>
        <v>66.66</v>
      </c>
      <c r="X25" s="26">
        <f>IF('Simulasi Premi 1 (Personal)'!$E$38="Menurun",'Spek Produk'!X83,'Spek Produk'!X141)</f>
        <v>71.64</v>
      </c>
      <c r="Y25" s="26">
        <f>IF('Simulasi Premi 1 (Personal)'!$E$38="Menurun",'Spek Produk'!Y83,'Spek Produk'!Y141)</f>
        <v>76.62</v>
      </c>
      <c r="Z25" s="26">
        <f>IF('Simulasi Premi 1 (Personal)'!$E$38="Menurun",'Spek Produk'!Z83,'Spek Produk'!Z141)</f>
        <v>81.599999999999994</v>
      </c>
      <c r="AA25" s="26">
        <f>IF('Simulasi Premi 1 (Personal)'!$E$38="Menurun",'Spek Produk'!AA83,'Spek Produk'!AA141)</f>
        <v>86.57</v>
      </c>
      <c r="AB25" s="26">
        <f>IF('Simulasi Premi 1 (Personal)'!$E$38="Menurun",'Spek Produk'!AB83,'Spek Produk'!AB141)</f>
        <v>90.23</v>
      </c>
      <c r="AC25" s="26">
        <f>IF('Simulasi Premi 1 (Personal)'!$E$38="Menurun",'Spek Produk'!AC83,'Spek Produk'!AC141)</f>
        <v>93.89</v>
      </c>
      <c r="AD25" s="26">
        <f>IF('Simulasi Premi 1 (Personal)'!$E$38="Menurun",'Spek Produk'!AD83,'Spek Produk'!AD141)</f>
        <v>97.55</v>
      </c>
      <c r="AE25" s="26">
        <f>IF('Simulasi Premi 1 (Personal)'!$E$38="Menurun",'Spek Produk'!AE83,'Spek Produk'!AE141)</f>
        <v>101.21</v>
      </c>
      <c r="AF25" s="26">
        <f>IF('Simulasi Premi 1 (Personal)'!$E$38="Menurun",'Spek Produk'!AF83,'Spek Produk'!AF141)</f>
        <v>104.89</v>
      </c>
      <c r="AG25" s="26">
        <f>IF('Simulasi Premi 1 (Personal)'!$E$38="Menurun",'Spek Produk'!AG83,'Spek Produk'!AG141)</f>
        <v>0</v>
      </c>
      <c r="AH25" s="26">
        <f>IF('Simulasi Premi 1 (Personal)'!$E$38="Menurun",'Spek Produk'!AH83,'Spek Produk'!AH141)</f>
        <v>0</v>
      </c>
      <c r="AI25" s="26">
        <f>IF('Simulasi Premi 1 (Personal)'!$E$38="Menurun",'Spek Produk'!AI83,'Spek Produk'!AI141)</f>
        <v>0</v>
      </c>
      <c r="AJ25" s="26">
        <f>IF('Simulasi Premi 1 (Personal)'!$E$38="Menurun",'Spek Produk'!AJ83,'Spek Produk'!AJ141)</f>
        <v>0</v>
      </c>
      <c r="AK25" s="26">
        <f>IF('Simulasi Premi 1 (Personal)'!$E$38="Menurun",'Spek Produk'!AK83,'Spek Produk'!AK141)</f>
        <v>0</v>
      </c>
      <c r="AL25" s="26">
        <f>IF('Simulasi Premi 1 (Personal)'!$E$38="Menurun",'Spek Produk'!AL83,'Spek Produk'!AL141)</f>
        <v>0</v>
      </c>
      <c r="AM25" s="26">
        <f>IF('Simulasi Premi 1 (Personal)'!$E$38="Menurun",'Spek Produk'!AM83,'Spek Produk'!AM141)</f>
        <v>0</v>
      </c>
      <c r="AN25" s="26">
        <f>IF('Simulasi Premi 1 (Personal)'!$E$38="Menurun",'Spek Produk'!AN83,'Spek Produk'!AN141)</f>
        <v>0</v>
      </c>
      <c r="AO25" s="26">
        <f>IF('Simulasi Premi 1 (Personal)'!$E$38="Menurun",'Spek Produk'!AO83,'Spek Produk'!AO141)</f>
        <v>0</v>
      </c>
      <c r="AP25" s="26">
        <f>IF('Simulasi Premi 1 (Personal)'!$E$38="Menurun",'Spek Produk'!AP83,'Spek Produk'!AP141)</f>
        <v>0</v>
      </c>
      <c r="AR25">
        <v>0</v>
      </c>
    </row>
    <row r="26" spans="2:45" x14ac:dyDescent="0.35">
      <c r="L26" s="24">
        <f t="shared" si="0"/>
        <v>38</v>
      </c>
      <c r="M26" s="26">
        <f>IF('Simulasi Premi 1 (Personal)'!$E$38="Menurun",'Spek Produk'!M84,'Spek Produk'!M142)</f>
        <v>6.85</v>
      </c>
      <c r="N26" s="26">
        <f>IF('Simulasi Premi 1 (Personal)'!$E$38="Menurun",'Spek Produk'!N84,'Spek Produk'!N142)</f>
        <v>11.62</v>
      </c>
      <c r="O26" s="26">
        <f>IF('Simulasi Premi 1 (Personal)'!$E$38="Menurun",'Spek Produk'!O84,'Spek Produk'!O142)</f>
        <v>16.77</v>
      </c>
      <c r="P26" s="26">
        <f>IF('Simulasi Premi 1 (Personal)'!$E$38="Menurun",'Spek Produk'!P84,'Spek Produk'!P142)</f>
        <v>22.28</v>
      </c>
      <c r="Q26" s="26">
        <f>IF('Simulasi Premi 1 (Personal)'!$E$38="Menurun",'Spek Produk'!Q84,'Spek Produk'!Q142)</f>
        <v>28.12</v>
      </c>
      <c r="R26" s="26">
        <f>IF('Simulasi Premi 1 (Personal)'!$E$38="Menurun",'Spek Produk'!R84,'Spek Produk'!R142)</f>
        <v>34.26</v>
      </c>
      <c r="S26" s="26">
        <f>IF('Simulasi Premi 1 (Personal)'!$E$38="Menurun",'Spek Produk'!S84,'Spek Produk'!S142)</f>
        <v>40.68</v>
      </c>
      <c r="T26" s="26">
        <f>IF('Simulasi Premi 1 (Personal)'!$E$38="Menurun",'Spek Produk'!T84,'Spek Produk'!T142)</f>
        <v>47.4</v>
      </c>
      <c r="U26" s="26">
        <f>IF('Simulasi Premi 1 (Personal)'!$E$38="Menurun",'Spek Produk'!U84,'Spek Produk'!U142)</f>
        <v>54.4</v>
      </c>
      <c r="V26" s="26">
        <f>IF('Simulasi Premi 1 (Personal)'!$E$38="Menurun",'Spek Produk'!V84,'Spek Produk'!V142)</f>
        <v>61.68</v>
      </c>
      <c r="W26" s="26">
        <f>IF('Simulasi Premi 1 (Personal)'!$E$38="Menurun",'Spek Produk'!W84,'Spek Produk'!W142)</f>
        <v>66.66</v>
      </c>
      <c r="X26" s="26">
        <f>IF('Simulasi Premi 1 (Personal)'!$E$38="Menurun",'Spek Produk'!X84,'Spek Produk'!X142)</f>
        <v>71.64</v>
      </c>
      <c r="Y26" s="26">
        <f>IF('Simulasi Premi 1 (Personal)'!$E$38="Menurun",'Spek Produk'!Y84,'Spek Produk'!Y142)</f>
        <v>76.62</v>
      </c>
      <c r="Z26" s="26">
        <f>IF('Simulasi Premi 1 (Personal)'!$E$38="Menurun",'Spek Produk'!Z84,'Spek Produk'!Z142)</f>
        <v>81.599999999999994</v>
      </c>
      <c r="AA26" s="26">
        <f>IF('Simulasi Premi 1 (Personal)'!$E$38="Menurun",'Spek Produk'!AA84,'Spek Produk'!AA142)</f>
        <v>86.57</v>
      </c>
      <c r="AB26" s="26">
        <f>IF('Simulasi Premi 1 (Personal)'!$E$38="Menurun",'Spek Produk'!AB84,'Spek Produk'!AB142)</f>
        <v>90.23</v>
      </c>
      <c r="AC26" s="26">
        <f>IF('Simulasi Premi 1 (Personal)'!$E$38="Menurun",'Spek Produk'!AC84,'Spek Produk'!AC142)</f>
        <v>93.89</v>
      </c>
      <c r="AD26" s="26">
        <f>IF('Simulasi Premi 1 (Personal)'!$E$38="Menurun",'Spek Produk'!AD84,'Spek Produk'!AD142)</f>
        <v>97.55</v>
      </c>
      <c r="AE26" s="26">
        <f>IF('Simulasi Premi 1 (Personal)'!$E$38="Menurun",'Spek Produk'!AE84,'Spek Produk'!AE142)</f>
        <v>101.21</v>
      </c>
      <c r="AF26" s="26">
        <f>IF('Simulasi Premi 1 (Personal)'!$E$38="Menurun",'Spek Produk'!AF84,'Spek Produk'!AF142)</f>
        <v>104.89</v>
      </c>
      <c r="AG26" s="26">
        <f>IF('Simulasi Premi 1 (Personal)'!$E$38="Menurun",'Spek Produk'!AG84,'Spek Produk'!AG142)</f>
        <v>0</v>
      </c>
      <c r="AH26" s="26">
        <f>IF('Simulasi Premi 1 (Personal)'!$E$38="Menurun",'Spek Produk'!AH84,'Spek Produk'!AH142)</f>
        <v>0</v>
      </c>
      <c r="AI26" s="26">
        <f>IF('Simulasi Premi 1 (Personal)'!$E$38="Menurun",'Spek Produk'!AI84,'Spek Produk'!AI142)</f>
        <v>0</v>
      </c>
      <c r="AJ26" s="26">
        <f>IF('Simulasi Premi 1 (Personal)'!$E$38="Menurun",'Spek Produk'!AJ84,'Spek Produk'!AJ142)</f>
        <v>0</v>
      </c>
      <c r="AK26" s="26">
        <f>IF('Simulasi Premi 1 (Personal)'!$E$38="Menurun",'Spek Produk'!AK84,'Spek Produk'!AK142)</f>
        <v>0</v>
      </c>
      <c r="AL26" s="26">
        <f>IF('Simulasi Premi 1 (Personal)'!$E$38="Menurun",'Spek Produk'!AL84,'Spek Produk'!AL142)</f>
        <v>0</v>
      </c>
      <c r="AM26" s="26">
        <f>IF('Simulasi Premi 1 (Personal)'!$E$38="Menurun",'Spek Produk'!AM84,'Spek Produk'!AM142)</f>
        <v>0</v>
      </c>
      <c r="AN26" s="26">
        <f>IF('Simulasi Premi 1 (Personal)'!$E$38="Menurun",'Spek Produk'!AN84,'Spek Produk'!AN142)</f>
        <v>0</v>
      </c>
      <c r="AO26" s="26">
        <f>IF('Simulasi Premi 1 (Personal)'!$E$38="Menurun",'Spek Produk'!AO84,'Spek Produk'!AO142)</f>
        <v>0</v>
      </c>
      <c r="AP26" s="26">
        <f>IF('Simulasi Premi 1 (Personal)'!$E$38="Menurun",'Spek Produk'!AP84,'Spek Produk'!AP142)</f>
        <v>0</v>
      </c>
      <c r="AR26">
        <v>1</v>
      </c>
    </row>
    <row r="27" spans="2:45" x14ac:dyDescent="0.35">
      <c r="B27" s="4"/>
      <c r="C27" s="5"/>
      <c r="D27" s="5"/>
      <c r="E27" s="5"/>
      <c r="F27" s="5"/>
      <c r="G27" s="5"/>
      <c r="H27" s="5"/>
      <c r="I27" s="5"/>
      <c r="J27" s="6"/>
      <c r="L27" s="24">
        <f t="shared" si="0"/>
        <v>39</v>
      </c>
      <c r="M27" s="26">
        <f>IF('Simulasi Premi 1 (Personal)'!$E$38="Menurun",'Spek Produk'!M85,'Spek Produk'!M143)</f>
        <v>6.85</v>
      </c>
      <c r="N27" s="26">
        <f>IF('Simulasi Premi 1 (Personal)'!$E$38="Menurun",'Spek Produk'!N85,'Spek Produk'!N143)</f>
        <v>11.62</v>
      </c>
      <c r="O27" s="26">
        <f>IF('Simulasi Premi 1 (Personal)'!$E$38="Menurun",'Spek Produk'!O85,'Spek Produk'!O143)</f>
        <v>16.77</v>
      </c>
      <c r="P27" s="26">
        <f>IF('Simulasi Premi 1 (Personal)'!$E$38="Menurun",'Spek Produk'!P85,'Spek Produk'!P143)</f>
        <v>22.28</v>
      </c>
      <c r="Q27" s="26">
        <f>IF('Simulasi Premi 1 (Personal)'!$E$38="Menurun",'Spek Produk'!Q85,'Spek Produk'!Q143)</f>
        <v>28.12</v>
      </c>
      <c r="R27" s="26">
        <f>IF('Simulasi Premi 1 (Personal)'!$E$38="Menurun",'Spek Produk'!R85,'Spek Produk'!R143)</f>
        <v>34.26</v>
      </c>
      <c r="S27" s="26">
        <f>IF('Simulasi Premi 1 (Personal)'!$E$38="Menurun",'Spek Produk'!S85,'Spek Produk'!S143)</f>
        <v>40.68</v>
      </c>
      <c r="T27" s="26">
        <f>IF('Simulasi Premi 1 (Personal)'!$E$38="Menurun",'Spek Produk'!T85,'Spek Produk'!T143)</f>
        <v>47.4</v>
      </c>
      <c r="U27" s="26">
        <f>IF('Simulasi Premi 1 (Personal)'!$E$38="Menurun",'Spek Produk'!U85,'Spek Produk'!U143)</f>
        <v>54.4</v>
      </c>
      <c r="V27" s="26">
        <f>IF('Simulasi Premi 1 (Personal)'!$E$38="Menurun",'Spek Produk'!V85,'Spek Produk'!V143)</f>
        <v>61.68</v>
      </c>
      <c r="W27" s="26">
        <f>IF('Simulasi Premi 1 (Personal)'!$E$38="Menurun",'Spek Produk'!W85,'Spek Produk'!W143)</f>
        <v>66.66</v>
      </c>
      <c r="X27" s="26">
        <f>IF('Simulasi Premi 1 (Personal)'!$E$38="Menurun",'Spek Produk'!X85,'Spek Produk'!X143)</f>
        <v>71.64</v>
      </c>
      <c r="Y27" s="26">
        <f>IF('Simulasi Premi 1 (Personal)'!$E$38="Menurun",'Spek Produk'!Y85,'Spek Produk'!Y143)</f>
        <v>76.62</v>
      </c>
      <c r="Z27" s="26">
        <f>IF('Simulasi Premi 1 (Personal)'!$E$38="Menurun",'Spek Produk'!Z85,'Spek Produk'!Z143)</f>
        <v>81.599999999999994</v>
      </c>
      <c r="AA27" s="26">
        <f>IF('Simulasi Premi 1 (Personal)'!$E$38="Menurun",'Spek Produk'!AA85,'Spek Produk'!AA143)</f>
        <v>86.57</v>
      </c>
      <c r="AB27" s="26">
        <f>IF('Simulasi Premi 1 (Personal)'!$E$38="Menurun",'Spek Produk'!AB85,'Spek Produk'!AB143)</f>
        <v>90.23</v>
      </c>
      <c r="AC27" s="26">
        <f>IF('Simulasi Premi 1 (Personal)'!$E$38="Menurun",'Spek Produk'!AC85,'Spek Produk'!AC143)</f>
        <v>93.89</v>
      </c>
      <c r="AD27" s="26">
        <f>IF('Simulasi Premi 1 (Personal)'!$E$38="Menurun",'Spek Produk'!AD85,'Spek Produk'!AD143)</f>
        <v>97.55</v>
      </c>
      <c r="AE27" s="26">
        <f>IF('Simulasi Premi 1 (Personal)'!$E$38="Menurun",'Spek Produk'!AE85,'Spek Produk'!AE143)</f>
        <v>101.21</v>
      </c>
      <c r="AF27" s="26">
        <f>IF('Simulasi Premi 1 (Personal)'!$E$38="Menurun",'Spek Produk'!AF85,'Spek Produk'!AF143)</f>
        <v>104.89</v>
      </c>
      <c r="AG27" s="26">
        <f>IF('Simulasi Premi 1 (Personal)'!$E$38="Menurun",'Spek Produk'!AG85,'Spek Produk'!AG143)</f>
        <v>0</v>
      </c>
      <c r="AH27" s="26">
        <f>IF('Simulasi Premi 1 (Personal)'!$E$38="Menurun",'Spek Produk'!AH85,'Spek Produk'!AH143)</f>
        <v>0</v>
      </c>
      <c r="AI27" s="26">
        <f>IF('Simulasi Premi 1 (Personal)'!$E$38="Menurun",'Spek Produk'!AI85,'Spek Produk'!AI143)</f>
        <v>0</v>
      </c>
      <c r="AJ27" s="26">
        <f>IF('Simulasi Premi 1 (Personal)'!$E$38="Menurun",'Spek Produk'!AJ85,'Spek Produk'!AJ143)</f>
        <v>0</v>
      </c>
      <c r="AK27" s="26">
        <f>IF('Simulasi Premi 1 (Personal)'!$E$38="Menurun",'Spek Produk'!AK85,'Spek Produk'!AK143)</f>
        <v>0</v>
      </c>
      <c r="AL27" s="26">
        <f>IF('Simulasi Premi 1 (Personal)'!$E$38="Menurun",'Spek Produk'!AL85,'Spek Produk'!AL143)</f>
        <v>0</v>
      </c>
      <c r="AM27" s="26">
        <f>IF('Simulasi Premi 1 (Personal)'!$E$38="Menurun",'Spek Produk'!AM85,'Spek Produk'!AM143)</f>
        <v>0</v>
      </c>
      <c r="AN27" s="26">
        <f>IF('Simulasi Premi 1 (Personal)'!$E$38="Menurun",'Spek Produk'!AN85,'Spek Produk'!AN143)</f>
        <v>0</v>
      </c>
      <c r="AO27" s="26">
        <f>IF('Simulasi Premi 1 (Personal)'!$E$38="Menurun",'Spek Produk'!AO85,'Spek Produk'!AO143)</f>
        <v>0</v>
      </c>
      <c r="AP27" s="26">
        <f>IF('Simulasi Premi 1 (Personal)'!$E$38="Menurun",'Spek Produk'!AP85,'Spek Produk'!AP143)</f>
        <v>0</v>
      </c>
      <c r="AR27">
        <v>2</v>
      </c>
    </row>
    <row r="28" spans="2:45" x14ac:dyDescent="0.35">
      <c r="B28" s="7"/>
      <c r="C28" s="8" t="s">
        <v>92</v>
      </c>
      <c r="D28" s="9"/>
      <c r="E28" s="9"/>
      <c r="F28" s="9"/>
      <c r="G28" s="9"/>
      <c r="H28" s="9"/>
      <c r="I28" s="9"/>
      <c r="J28" s="10"/>
      <c r="L28" s="24">
        <f t="shared" si="0"/>
        <v>40</v>
      </c>
      <c r="M28" s="26">
        <f>IF('Simulasi Premi 1 (Personal)'!$E$38="Menurun",'Spek Produk'!M86,'Spek Produk'!M144)</f>
        <v>6.85</v>
      </c>
      <c r="N28" s="26">
        <f>IF('Simulasi Premi 1 (Personal)'!$E$38="Menurun",'Spek Produk'!N86,'Spek Produk'!N144)</f>
        <v>11.62</v>
      </c>
      <c r="O28" s="26">
        <f>IF('Simulasi Premi 1 (Personal)'!$E$38="Menurun",'Spek Produk'!O86,'Spek Produk'!O144)</f>
        <v>16.77</v>
      </c>
      <c r="P28" s="26">
        <f>IF('Simulasi Premi 1 (Personal)'!$E$38="Menurun",'Spek Produk'!P86,'Spek Produk'!P144)</f>
        <v>22.28</v>
      </c>
      <c r="Q28" s="26">
        <f>IF('Simulasi Premi 1 (Personal)'!$E$38="Menurun",'Spek Produk'!Q86,'Spek Produk'!Q144)</f>
        <v>28.12</v>
      </c>
      <c r="R28" s="26">
        <f>IF('Simulasi Premi 1 (Personal)'!$E$38="Menurun",'Spek Produk'!R86,'Spek Produk'!R144)</f>
        <v>34.26</v>
      </c>
      <c r="S28" s="26">
        <f>IF('Simulasi Premi 1 (Personal)'!$E$38="Menurun",'Spek Produk'!S86,'Spek Produk'!S144)</f>
        <v>40.68</v>
      </c>
      <c r="T28" s="26">
        <f>IF('Simulasi Premi 1 (Personal)'!$E$38="Menurun",'Spek Produk'!T86,'Spek Produk'!T144)</f>
        <v>47.4</v>
      </c>
      <c r="U28" s="26">
        <f>IF('Simulasi Premi 1 (Personal)'!$E$38="Menurun",'Spek Produk'!U86,'Spek Produk'!U144)</f>
        <v>54.4</v>
      </c>
      <c r="V28" s="26">
        <f>IF('Simulasi Premi 1 (Personal)'!$E$38="Menurun",'Spek Produk'!V86,'Spek Produk'!V144)</f>
        <v>61.68</v>
      </c>
      <c r="W28" s="26">
        <f>IF('Simulasi Premi 1 (Personal)'!$E$38="Menurun",'Spek Produk'!W86,'Spek Produk'!W144)</f>
        <v>66.66</v>
      </c>
      <c r="X28" s="26">
        <f>IF('Simulasi Premi 1 (Personal)'!$E$38="Menurun",'Spek Produk'!X86,'Spek Produk'!X144)</f>
        <v>71.64</v>
      </c>
      <c r="Y28" s="26">
        <f>IF('Simulasi Premi 1 (Personal)'!$E$38="Menurun",'Spek Produk'!Y86,'Spek Produk'!Y144)</f>
        <v>76.62</v>
      </c>
      <c r="Z28" s="26">
        <f>IF('Simulasi Premi 1 (Personal)'!$E$38="Menurun",'Spek Produk'!Z86,'Spek Produk'!Z144)</f>
        <v>81.599999999999994</v>
      </c>
      <c r="AA28" s="26">
        <f>IF('Simulasi Premi 1 (Personal)'!$E$38="Menurun",'Spek Produk'!AA86,'Spek Produk'!AA144)</f>
        <v>86.57</v>
      </c>
      <c r="AB28" s="26">
        <f>IF('Simulasi Premi 1 (Personal)'!$E$38="Menurun",'Spek Produk'!AB86,'Spek Produk'!AB144)</f>
        <v>90.23</v>
      </c>
      <c r="AC28" s="26">
        <f>IF('Simulasi Premi 1 (Personal)'!$E$38="Menurun",'Spek Produk'!AC86,'Spek Produk'!AC144)</f>
        <v>93.89</v>
      </c>
      <c r="AD28" s="26">
        <f>IF('Simulasi Premi 1 (Personal)'!$E$38="Menurun",'Spek Produk'!AD86,'Spek Produk'!AD144)</f>
        <v>97.55</v>
      </c>
      <c r="AE28" s="26">
        <f>IF('Simulasi Premi 1 (Personal)'!$E$38="Menurun",'Spek Produk'!AE86,'Spek Produk'!AE144)</f>
        <v>101.21</v>
      </c>
      <c r="AF28" s="26">
        <f>IF('Simulasi Premi 1 (Personal)'!$E$38="Menurun",'Spek Produk'!AF86,'Spek Produk'!AF144)</f>
        <v>104.89</v>
      </c>
      <c r="AG28" s="26">
        <f>IF('Simulasi Premi 1 (Personal)'!$E$38="Menurun",'Spek Produk'!AG86,'Spek Produk'!AG144)</f>
        <v>0</v>
      </c>
      <c r="AH28" s="26">
        <f>IF('Simulasi Premi 1 (Personal)'!$E$38="Menurun",'Spek Produk'!AH86,'Spek Produk'!AH144)</f>
        <v>0</v>
      </c>
      <c r="AI28" s="26">
        <f>IF('Simulasi Premi 1 (Personal)'!$E$38="Menurun",'Spek Produk'!AI86,'Spek Produk'!AI144)</f>
        <v>0</v>
      </c>
      <c r="AJ28" s="26">
        <f>IF('Simulasi Premi 1 (Personal)'!$E$38="Menurun",'Spek Produk'!AJ86,'Spek Produk'!AJ144)</f>
        <v>0</v>
      </c>
      <c r="AK28" s="26">
        <f>IF('Simulasi Premi 1 (Personal)'!$E$38="Menurun",'Spek Produk'!AK86,'Spek Produk'!AK144)</f>
        <v>0</v>
      </c>
      <c r="AL28" s="26">
        <f>IF('Simulasi Premi 1 (Personal)'!$E$38="Menurun",'Spek Produk'!AL86,'Spek Produk'!AL144)</f>
        <v>0</v>
      </c>
      <c r="AM28" s="26">
        <f>IF('Simulasi Premi 1 (Personal)'!$E$38="Menurun",'Spek Produk'!AM86,'Spek Produk'!AM144)</f>
        <v>0</v>
      </c>
      <c r="AN28" s="26">
        <f>IF('Simulasi Premi 1 (Personal)'!$E$38="Menurun",'Spek Produk'!AN86,'Spek Produk'!AN144)</f>
        <v>0</v>
      </c>
      <c r="AO28" s="26">
        <f>IF('Simulasi Premi 1 (Personal)'!$E$38="Menurun",'Spek Produk'!AO86,'Spek Produk'!AO144)</f>
        <v>0</v>
      </c>
      <c r="AP28" s="26">
        <f>IF('Simulasi Premi 1 (Personal)'!$E$38="Menurun",'Spek Produk'!AP86,'Spek Produk'!AP144)</f>
        <v>0</v>
      </c>
      <c r="AR28">
        <v>3</v>
      </c>
    </row>
    <row r="29" spans="2:45" x14ac:dyDescent="0.35">
      <c r="B29" s="7"/>
      <c r="C29" s="8"/>
      <c r="D29" s="9"/>
      <c r="E29" s="9"/>
      <c r="F29" s="9"/>
      <c r="G29" s="9"/>
      <c r="H29" s="9"/>
      <c r="I29" s="9"/>
      <c r="J29" s="10"/>
      <c r="L29" s="24">
        <f t="shared" si="0"/>
        <v>41</v>
      </c>
      <c r="M29" s="26">
        <f>IF('Simulasi Premi 1 (Personal)'!$E$38="Menurun",'Spek Produk'!M87,'Spek Produk'!M145)</f>
        <v>6.85</v>
      </c>
      <c r="N29" s="26">
        <f>IF('Simulasi Premi 1 (Personal)'!$E$38="Menurun",'Spek Produk'!N87,'Spek Produk'!N145)</f>
        <v>11.62</v>
      </c>
      <c r="O29" s="26">
        <f>IF('Simulasi Premi 1 (Personal)'!$E$38="Menurun",'Spek Produk'!O87,'Spek Produk'!O145)</f>
        <v>16.77</v>
      </c>
      <c r="P29" s="26">
        <f>IF('Simulasi Premi 1 (Personal)'!$E$38="Menurun",'Spek Produk'!P87,'Spek Produk'!P145)</f>
        <v>22.28</v>
      </c>
      <c r="Q29" s="26">
        <f>IF('Simulasi Premi 1 (Personal)'!$E$38="Menurun",'Spek Produk'!Q87,'Spek Produk'!Q145)</f>
        <v>28.12</v>
      </c>
      <c r="R29" s="26">
        <f>IF('Simulasi Premi 1 (Personal)'!$E$38="Menurun",'Spek Produk'!R87,'Spek Produk'!R145)</f>
        <v>34.26</v>
      </c>
      <c r="S29" s="26">
        <f>IF('Simulasi Premi 1 (Personal)'!$E$38="Menurun",'Spek Produk'!S87,'Spek Produk'!S145)</f>
        <v>40.68</v>
      </c>
      <c r="T29" s="26">
        <f>IF('Simulasi Premi 1 (Personal)'!$E$38="Menurun",'Spek Produk'!T87,'Spek Produk'!T145)</f>
        <v>47.4</v>
      </c>
      <c r="U29" s="26">
        <f>IF('Simulasi Premi 1 (Personal)'!$E$38="Menurun",'Spek Produk'!U87,'Spek Produk'!U145)</f>
        <v>54.4</v>
      </c>
      <c r="V29" s="26">
        <f>IF('Simulasi Premi 1 (Personal)'!$E$38="Menurun",'Spek Produk'!V87,'Spek Produk'!V145)</f>
        <v>61.68</v>
      </c>
      <c r="W29" s="26">
        <f>IF('Simulasi Premi 1 (Personal)'!$E$38="Menurun",'Spek Produk'!W87,'Spek Produk'!W145)</f>
        <v>66.66</v>
      </c>
      <c r="X29" s="26">
        <f>IF('Simulasi Premi 1 (Personal)'!$E$38="Menurun",'Spek Produk'!X87,'Spek Produk'!X145)</f>
        <v>71.64</v>
      </c>
      <c r="Y29" s="26">
        <f>IF('Simulasi Premi 1 (Personal)'!$E$38="Menurun",'Spek Produk'!Y87,'Spek Produk'!Y145)</f>
        <v>76.62</v>
      </c>
      <c r="Z29" s="26">
        <f>IF('Simulasi Premi 1 (Personal)'!$E$38="Menurun",'Spek Produk'!Z87,'Spek Produk'!Z145)</f>
        <v>81.599999999999994</v>
      </c>
      <c r="AA29" s="26">
        <f>IF('Simulasi Premi 1 (Personal)'!$E$38="Menurun",'Spek Produk'!AA87,'Spek Produk'!AA145)</f>
        <v>86.57</v>
      </c>
      <c r="AB29" s="26">
        <f>IF('Simulasi Premi 1 (Personal)'!$E$38="Menurun",'Spek Produk'!AB87,'Spek Produk'!AB145)</f>
        <v>90.23</v>
      </c>
      <c r="AC29" s="26">
        <f>IF('Simulasi Premi 1 (Personal)'!$E$38="Menurun",'Spek Produk'!AC87,'Spek Produk'!AC145)</f>
        <v>93.89</v>
      </c>
      <c r="AD29" s="26">
        <f>IF('Simulasi Premi 1 (Personal)'!$E$38="Menurun",'Spek Produk'!AD87,'Spek Produk'!AD145)</f>
        <v>97.55</v>
      </c>
      <c r="AE29" s="26">
        <f>IF('Simulasi Premi 1 (Personal)'!$E$38="Menurun",'Spek Produk'!AE87,'Spek Produk'!AE145)</f>
        <v>101.21</v>
      </c>
      <c r="AF29" s="26">
        <f>IF('Simulasi Premi 1 (Personal)'!$E$38="Menurun",'Spek Produk'!AF87,'Spek Produk'!AF145)</f>
        <v>104.89</v>
      </c>
      <c r="AG29" s="26">
        <f>IF('Simulasi Premi 1 (Personal)'!$E$38="Menurun",'Spek Produk'!AG87,'Spek Produk'!AG145)</f>
        <v>0</v>
      </c>
      <c r="AH29" s="26">
        <f>IF('Simulasi Premi 1 (Personal)'!$E$38="Menurun",'Spek Produk'!AH87,'Spek Produk'!AH145)</f>
        <v>0</v>
      </c>
      <c r="AI29" s="26">
        <f>IF('Simulasi Premi 1 (Personal)'!$E$38="Menurun",'Spek Produk'!AI87,'Spek Produk'!AI145)</f>
        <v>0</v>
      </c>
      <c r="AJ29" s="26">
        <f>IF('Simulasi Premi 1 (Personal)'!$E$38="Menurun",'Spek Produk'!AJ87,'Spek Produk'!AJ145)</f>
        <v>0</v>
      </c>
      <c r="AK29" s="26">
        <f>IF('Simulasi Premi 1 (Personal)'!$E$38="Menurun",'Spek Produk'!AK87,'Spek Produk'!AK145)</f>
        <v>0</v>
      </c>
      <c r="AL29" s="26">
        <f>IF('Simulasi Premi 1 (Personal)'!$E$38="Menurun",'Spek Produk'!AL87,'Spek Produk'!AL145)</f>
        <v>0</v>
      </c>
      <c r="AM29" s="26">
        <f>IF('Simulasi Premi 1 (Personal)'!$E$38="Menurun",'Spek Produk'!AM87,'Spek Produk'!AM145)</f>
        <v>0</v>
      </c>
      <c r="AN29" s="26">
        <f>IF('Simulasi Premi 1 (Personal)'!$E$38="Menurun",'Spek Produk'!AN87,'Spek Produk'!AN145)</f>
        <v>0</v>
      </c>
      <c r="AO29" s="26">
        <f>IF('Simulasi Premi 1 (Personal)'!$E$38="Menurun",'Spek Produk'!AO87,'Spek Produk'!AO145)</f>
        <v>0</v>
      </c>
      <c r="AP29" s="26">
        <f>IF('Simulasi Premi 1 (Personal)'!$E$38="Menurun",'Spek Produk'!AP87,'Spek Produk'!AP145)</f>
        <v>0</v>
      </c>
      <c r="AR29">
        <v>4</v>
      </c>
    </row>
    <row r="30" spans="2:45" x14ac:dyDescent="0.35">
      <c r="B30" s="7"/>
      <c r="C30" s="9" t="s">
        <v>35</v>
      </c>
      <c r="D30" s="9"/>
      <c r="E30" s="11" t="s">
        <v>24</v>
      </c>
      <c r="F30" s="141" t="str">
        <f>F18</f>
        <v>Bancassurance</v>
      </c>
      <c r="G30" s="142"/>
      <c r="H30" s="142"/>
      <c r="I30" s="143"/>
      <c r="J30" s="10"/>
      <c r="L30" s="24">
        <f t="shared" si="0"/>
        <v>42</v>
      </c>
      <c r="M30" s="26">
        <f>IF('Simulasi Premi 1 (Personal)'!$E$38="Menurun",'Spek Produk'!M88,'Spek Produk'!M146)</f>
        <v>6.85</v>
      </c>
      <c r="N30" s="26">
        <f>IF('Simulasi Premi 1 (Personal)'!$E$38="Menurun",'Spek Produk'!N88,'Spek Produk'!N146)</f>
        <v>11.62</v>
      </c>
      <c r="O30" s="26">
        <f>IF('Simulasi Premi 1 (Personal)'!$E$38="Menurun",'Spek Produk'!O88,'Spek Produk'!O146)</f>
        <v>16.77</v>
      </c>
      <c r="P30" s="26">
        <f>IF('Simulasi Premi 1 (Personal)'!$E$38="Menurun",'Spek Produk'!P88,'Spek Produk'!P146)</f>
        <v>22.28</v>
      </c>
      <c r="Q30" s="26">
        <f>IF('Simulasi Premi 1 (Personal)'!$E$38="Menurun",'Spek Produk'!Q88,'Spek Produk'!Q146)</f>
        <v>28.12</v>
      </c>
      <c r="R30" s="26">
        <f>IF('Simulasi Premi 1 (Personal)'!$E$38="Menurun",'Spek Produk'!R88,'Spek Produk'!R146)</f>
        <v>34.26</v>
      </c>
      <c r="S30" s="26">
        <f>IF('Simulasi Premi 1 (Personal)'!$E$38="Menurun",'Spek Produk'!S88,'Spek Produk'!S146)</f>
        <v>40.68</v>
      </c>
      <c r="T30" s="26">
        <f>IF('Simulasi Premi 1 (Personal)'!$E$38="Menurun",'Spek Produk'!T88,'Spek Produk'!T146)</f>
        <v>47.4</v>
      </c>
      <c r="U30" s="26">
        <f>IF('Simulasi Premi 1 (Personal)'!$E$38="Menurun",'Spek Produk'!U88,'Spek Produk'!U146)</f>
        <v>54.4</v>
      </c>
      <c r="V30" s="26">
        <f>IF('Simulasi Premi 1 (Personal)'!$E$38="Menurun",'Spek Produk'!V88,'Spek Produk'!V146)</f>
        <v>61.68</v>
      </c>
      <c r="W30" s="26">
        <f>IF('Simulasi Premi 1 (Personal)'!$E$38="Menurun",'Spek Produk'!W88,'Spek Produk'!W146)</f>
        <v>66.66</v>
      </c>
      <c r="X30" s="26">
        <f>IF('Simulasi Premi 1 (Personal)'!$E$38="Menurun",'Spek Produk'!X88,'Spek Produk'!X146)</f>
        <v>71.64</v>
      </c>
      <c r="Y30" s="26">
        <f>IF('Simulasi Premi 1 (Personal)'!$E$38="Menurun",'Spek Produk'!Y88,'Spek Produk'!Y146)</f>
        <v>76.62</v>
      </c>
      <c r="Z30" s="26">
        <f>IF('Simulasi Premi 1 (Personal)'!$E$38="Menurun",'Spek Produk'!Z88,'Spek Produk'!Z146)</f>
        <v>81.599999999999994</v>
      </c>
      <c r="AA30" s="26">
        <f>IF('Simulasi Premi 1 (Personal)'!$E$38="Menurun",'Spek Produk'!AA88,'Spek Produk'!AA146)</f>
        <v>86.57</v>
      </c>
      <c r="AB30" s="26">
        <f>IF('Simulasi Premi 1 (Personal)'!$E$38="Menurun",'Spek Produk'!AB88,'Spek Produk'!AB146)</f>
        <v>90.23</v>
      </c>
      <c r="AC30" s="26">
        <f>IF('Simulasi Premi 1 (Personal)'!$E$38="Menurun",'Spek Produk'!AC88,'Spek Produk'!AC146)</f>
        <v>93.89</v>
      </c>
      <c r="AD30" s="26">
        <f>IF('Simulasi Premi 1 (Personal)'!$E$38="Menurun",'Spek Produk'!AD88,'Spek Produk'!AD146)</f>
        <v>97.55</v>
      </c>
      <c r="AE30" s="26">
        <f>IF('Simulasi Premi 1 (Personal)'!$E$38="Menurun",'Spek Produk'!AE88,'Spek Produk'!AE146)</f>
        <v>101.21</v>
      </c>
      <c r="AF30" s="26">
        <f>IF('Simulasi Premi 1 (Personal)'!$E$38="Menurun",'Spek Produk'!AF88,'Spek Produk'!AF146)</f>
        <v>104.89</v>
      </c>
      <c r="AG30" s="26">
        <f>IF('Simulasi Premi 1 (Personal)'!$E$38="Menurun",'Spek Produk'!AG88,'Spek Produk'!AG146)</f>
        <v>0</v>
      </c>
      <c r="AH30" s="26">
        <f>IF('Simulasi Premi 1 (Personal)'!$E$38="Menurun",'Spek Produk'!AH88,'Spek Produk'!AH146)</f>
        <v>0</v>
      </c>
      <c r="AI30" s="26">
        <f>IF('Simulasi Premi 1 (Personal)'!$E$38="Menurun",'Spek Produk'!AI88,'Spek Produk'!AI146)</f>
        <v>0</v>
      </c>
      <c r="AJ30" s="26">
        <f>IF('Simulasi Premi 1 (Personal)'!$E$38="Menurun",'Spek Produk'!AJ88,'Spek Produk'!AJ146)</f>
        <v>0</v>
      </c>
      <c r="AK30" s="26">
        <f>IF('Simulasi Premi 1 (Personal)'!$E$38="Menurun",'Spek Produk'!AK88,'Spek Produk'!AK146)</f>
        <v>0</v>
      </c>
      <c r="AL30" s="26">
        <f>IF('Simulasi Premi 1 (Personal)'!$E$38="Menurun",'Spek Produk'!AL88,'Spek Produk'!AL146)</f>
        <v>0</v>
      </c>
      <c r="AM30" s="26">
        <f>IF('Simulasi Premi 1 (Personal)'!$E$38="Menurun",'Spek Produk'!AM88,'Spek Produk'!AM146)</f>
        <v>0</v>
      </c>
      <c r="AN30" s="26">
        <f>IF('Simulasi Premi 1 (Personal)'!$E$38="Menurun",'Spek Produk'!AN88,'Spek Produk'!AN146)</f>
        <v>0</v>
      </c>
      <c r="AO30" s="26">
        <f>IF('Simulasi Premi 1 (Personal)'!$E$38="Menurun",'Spek Produk'!AO88,'Spek Produk'!AO146)</f>
        <v>0</v>
      </c>
      <c r="AP30" s="26">
        <f>IF('Simulasi Premi 1 (Personal)'!$E$38="Menurun",'Spek Produk'!AP88,'Spek Produk'!AP146)</f>
        <v>0</v>
      </c>
      <c r="AR30">
        <v>5</v>
      </c>
    </row>
    <row r="31" spans="2:45" x14ac:dyDescent="0.35">
      <c r="B31" s="7"/>
      <c r="C31" s="9" t="s">
        <v>36</v>
      </c>
      <c r="D31" s="9"/>
      <c r="E31" s="11" t="s">
        <v>24</v>
      </c>
      <c r="F31" s="141" t="str">
        <f>F19</f>
        <v>BPR Palu Anugerah</v>
      </c>
      <c r="G31" s="142"/>
      <c r="H31" s="142"/>
      <c r="I31" s="143"/>
      <c r="J31" s="10"/>
      <c r="L31" s="24">
        <f t="shared" si="0"/>
        <v>43</v>
      </c>
      <c r="M31" s="26">
        <f>IF('Simulasi Premi 1 (Personal)'!$E$38="Menurun",'Spek Produk'!M89,'Spek Produk'!M147)</f>
        <v>6.85</v>
      </c>
      <c r="N31" s="26">
        <f>IF('Simulasi Premi 1 (Personal)'!$E$38="Menurun",'Spek Produk'!N89,'Spek Produk'!N147)</f>
        <v>11.62</v>
      </c>
      <c r="O31" s="26">
        <f>IF('Simulasi Premi 1 (Personal)'!$E$38="Menurun",'Spek Produk'!O89,'Spek Produk'!O147)</f>
        <v>16.77</v>
      </c>
      <c r="P31" s="26">
        <f>IF('Simulasi Premi 1 (Personal)'!$E$38="Menurun",'Spek Produk'!P89,'Spek Produk'!P147)</f>
        <v>22.28</v>
      </c>
      <c r="Q31" s="26">
        <f>IF('Simulasi Premi 1 (Personal)'!$E$38="Menurun",'Spek Produk'!Q89,'Spek Produk'!Q147)</f>
        <v>28.12</v>
      </c>
      <c r="R31" s="26">
        <f>IF('Simulasi Premi 1 (Personal)'!$E$38="Menurun",'Spek Produk'!R89,'Spek Produk'!R147)</f>
        <v>34.26</v>
      </c>
      <c r="S31" s="26">
        <f>IF('Simulasi Premi 1 (Personal)'!$E$38="Menurun",'Spek Produk'!S89,'Spek Produk'!S147)</f>
        <v>40.68</v>
      </c>
      <c r="T31" s="26">
        <f>IF('Simulasi Premi 1 (Personal)'!$E$38="Menurun",'Spek Produk'!T89,'Spek Produk'!T147)</f>
        <v>47.4</v>
      </c>
      <c r="U31" s="26">
        <f>IF('Simulasi Premi 1 (Personal)'!$E$38="Menurun",'Spek Produk'!U89,'Spek Produk'!U147)</f>
        <v>54.4</v>
      </c>
      <c r="V31" s="26">
        <f>IF('Simulasi Premi 1 (Personal)'!$E$38="Menurun",'Spek Produk'!V89,'Spek Produk'!V147)</f>
        <v>61.68</v>
      </c>
      <c r="W31" s="26">
        <f>IF('Simulasi Premi 1 (Personal)'!$E$38="Menurun",'Spek Produk'!W89,'Spek Produk'!W147)</f>
        <v>66.66</v>
      </c>
      <c r="X31" s="26">
        <f>IF('Simulasi Premi 1 (Personal)'!$E$38="Menurun",'Spek Produk'!X89,'Spek Produk'!X147)</f>
        <v>71.64</v>
      </c>
      <c r="Y31" s="26">
        <f>IF('Simulasi Premi 1 (Personal)'!$E$38="Menurun",'Spek Produk'!Y89,'Spek Produk'!Y147)</f>
        <v>76.62</v>
      </c>
      <c r="Z31" s="26">
        <f>IF('Simulasi Premi 1 (Personal)'!$E$38="Menurun",'Spek Produk'!Z89,'Spek Produk'!Z147)</f>
        <v>81.599999999999994</v>
      </c>
      <c r="AA31" s="26">
        <f>IF('Simulasi Premi 1 (Personal)'!$E$38="Menurun",'Spek Produk'!AA89,'Spek Produk'!AA147)</f>
        <v>86.57</v>
      </c>
      <c r="AB31" s="26">
        <f>IF('Simulasi Premi 1 (Personal)'!$E$38="Menurun",'Spek Produk'!AB89,'Spek Produk'!AB147)</f>
        <v>90.23</v>
      </c>
      <c r="AC31" s="26">
        <f>IF('Simulasi Premi 1 (Personal)'!$E$38="Menurun",'Spek Produk'!AC89,'Spek Produk'!AC147)</f>
        <v>93.89</v>
      </c>
      <c r="AD31" s="26">
        <f>IF('Simulasi Premi 1 (Personal)'!$E$38="Menurun",'Spek Produk'!AD89,'Spek Produk'!AD147)</f>
        <v>97.55</v>
      </c>
      <c r="AE31" s="26">
        <f>IF('Simulasi Premi 1 (Personal)'!$E$38="Menurun",'Spek Produk'!AE89,'Spek Produk'!AE147)</f>
        <v>101.21</v>
      </c>
      <c r="AF31" s="26">
        <f>IF('Simulasi Premi 1 (Personal)'!$E$38="Menurun",'Spek Produk'!AF89,'Spek Produk'!AF147)</f>
        <v>104.89</v>
      </c>
      <c r="AG31" s="26">
        <f>IF('Simulasi Premi 1 (Personal)'!$E$38="Menurun",'Spek Produk'!AG89,'Spek Produk'!AG147)</f>
        <v>0</v>
      </c>
      <c r="AH31" s="26">
        <f>IF('Simulasi Premi 1 (Personal)'!$E$38="Menurun",'Spek Produk'!AH89,'Spek Produk'!AH147)</f>
        <v>0</v>
      </c>
      <c r="AI31" s="26">
        <f>IF('Simulasi Premi 1 (Personal)'!$E$38="Menurun",'Spek Produk'!AI89,'Spek Produk'!AI147)</f>
        <v>0</v>
      </c>
      <c r="AJ31" s="26">
        <f>IF('Simulasi Premi 1 (Personal)'!$E$38="Menurun",'Spek Produk'!AJ89,'Spek Produk'!AJ147)</f>
        <v>0</v>
      </c>
      <c r="AK31" s="26">
        <f>IF('Simulasi Premi 1 (Personal)'!$E$38="Menurun",'Spek Produk'!AK89,'Spek Produk'!AK147)</f>
        <v>0</v>
      </c>
      <c r="AL31" s="26">
        <f>IF('Simulasi Premi 1 (Personal)'!$E$38="Menurun",'Spek Produk'!AL89,'Spek Produk'!AL147)</f>
        <v>0</v>
      </c>
      <c r="AM31" s="26">
        <f>IF('Simulasi Premi 1 (Personal)'!$E$38="Menurun",'Spek Produk'!AM89,'Spek Produk'!AM147)</f>
        <v>0</v>
      </c>
      <c r="AN31" s="26">
        <f>IF('Simulasi Premi 1 (Personal)'!$E$38="Menurun",'Spek Produk'!AN89,'Spek Produk'!AN147)</f>
        <v>0</v>
      </c>
      <c r="AO31" s="26">
        <f>IF('Simulasi Premi 1 (Personal)'!$E$38="Menurun",'Spek Produk'!AO89,'Spek Produk'!AO147)</f>
        <v>0</v>
      </c>
      <c r="AP31" s="26">
        <f>IF('Simulasi Premi 1 (Personal)'!$E$38="Menurun",'Spek Produk'!AP89,'Spek Produk'!AP147)</f>
        <v>0</v>
      </c>
      <c r="AR31">
        <v>6</v>
      </c>
    </row>
    <row r="32" spans="2:45" x14ac:dyDescent="0.35">
      <c r="B32" s="7"/>
      <c r="C32" s="9" t="s">
        <v>37</v>
      </c>
      <c r="D32" s="9"/>
      <c r="E32" s="11" t="s">
        <v>24</v>
      </c>
      <c r="F32" s="141">
        <f>F20</f>
        <v>1000000000</v>
      </c>
      <c r="G32" s="142"/>
      <c r="H32" s="142"/>
      <c r="I32" s="143"/>
      <c r="J32" s="10"/>
      <c r="L32" s="24">
        <f t="shared" si="0"/>
        <v>44</v>
      </c>
      <c r="M32" s="26">
        <f>IF('Simulasi Premi 1 (Personal)'!$E$38="Menurun",'Spek Produk'!M90,'Spek Produk'!M148)</f>
        <v>6.85</v>
      </c>
      <c r="N32" s="26">
        <f>IF('Simulasi Premi 1 (Personal)'!$E$38="Menurun",'Spek Produk'!N90,'Spek Produk'!N148)</f>
        <v>11.62</v>
      </c>
      <c r="O32" s="26">
        <f>IF('Simulasi Premi 1 (Personal)'!$E$38="Menurun",'Spek Produk'!O90,'Spek Produk'!O148)</f>
        <v>16.77</v>
      </c>
      <c r="P32" s="26">
        <f>IF('Simulasi Premi 1 (Personal)'!$E$38="Menurun",'Spek Produk'!P90,'Spek Produk'!P148)</f>
        <v>22.28</v>
      </c>
      <c r="Q32" s="26">
        <f>IF('Simulasi Premi 1 (Personal)'!$E$38="Menurun",'Spek Produk'!Q90,'Spek Produk'!Q148)</f>
        <v>28.12</v>
      </c>
      <c r="R32" s="26">
        <f>IF('Simulasi Premi 1 (Personal)'!$E$38="Menurun",'Spek Produk'!R90,'Spek Produk'!R148)</f>
        <v>34.26</v>
      </c>
      <c r="S32" s="26">
        <f>IF('Simulasi Premi 1 (Personal)'!$E$38="Menurun",'Spek Produk'!S90,'Spek Produk'!S148)</f>
        <v>40.68</v>
      </c>
      <c r="T32" s="26">
        <f>IF('Simulasi Premi 1 (Personal)'!$E$38="Menurun",'Spek Produk'!T90,'Spek Produk'!T148)</f>
        <v>47.4</v>
      </c>
      <c r="U32" s="26">
        <f>IF('Simulasi Premi 1 (Personal)'!$E$38="Menurun",'Spek Produk'!U90,'Spek Produk'!U148)</f>
        <v>54.4</v>
      </c>
      <c r="V32" s="26">
        <f>IF('Simulasi Premi 1 (Personal)'!$E$38="Menurun",'Spek Produk'!V90,'Spek Produk'!V148)</f>
        <v>61.68</v>
      </c>
      <c r="W32" s="26">
        <f>IF('Simulasi Premi 1 (Personal)'!$E$38="Menurun",'Spek Produk'!W90,'Spek Produk'!W148)</f>
        <v>66.66</v>
      </c>
      <c r="X32" s="26">
        <f>IF('Simulasi Premi 1 (Personal)'!$E$38="Menurun",'Spek Produk'!X90,'Spek Produk'!X148)</f>
        <v>71.64</v>
      </c>
      <c r="Y32" s="26">
        <f>IF('Simulasi Premi 1 (Personal)'!$E$38="Menurun",'Spek Produk'!Y90,'Spek Produk'!Y148)</f>
        <v>76.62</v>
      </c>
      <c r="Z32" s="26">
        <f>IF('Simulasi Premi 1 (Personal)'!$E$38="Menurun",'Spek Produk'!Z90,'Spek Produk'!Z148)</f>
        <v>81.599999999999994</v>
      </c>
      <c r="AA32" s="26">
        <f>IF('Simulasi Premi 1 (Personal)'!$E$38="Menurun",'Spek Produk'!AA90,'Spek Produk'!AA148)</f>
        <v>86.57</v>
      </c>
      <c r="AB32" s="26">
        <f>IF('Simulasi Premi 1 (Personal)'!$E$38="Menurun",'Spek Produk'!AB90,'Spek Produk'!AB148)</f>
        <v>90.23</v>
      </c>
      <c r="AC32" s="26">
        <f>IF('Simulasi Premi 1 (Personal)'!$E$38="Menurun",'Spek Produk'!AC90,'Spek Produk'!AC148)</f>
        <v>93.89</v>
      </c>
      <c r="AD32" s="26">
        <f>IF('Simulasi Premi 1 (Personal)'!$E$38="Menurun",'Spek Produk'!AD90,'Spek Produk'!AD148)</f>
        <v>97.55</v>
      </c>
      <c r="AE32" s="26">
        <f>IF('Simulasi Premi 1 (Personal)'!$E$38="Menurun",'Spek Produk'!AE90,'Spek Produk'!AE148)</f>
        <v>101.21</v>
      </c>
      <c r="AF32" s="26">
        <f>IF('Simulasi Premi 1 (Personal)'!$E$38="Menurun",'Spek Produk'!AF90,'Spek Produk'!AF148)</f>
        <v>104.89</v>
      </c>
      <c r="AG32" s="26">
        <f>IF('Simulasi Premi 1 (Personal)'!$E$38="Menurun",'Spek Produk'!AG90,'Spek Produk'!AG148)</f>
        <v>0</v>
      </c>
      <c r="AH32" s="26">
        <f>IF('Simulasi Premi 1 (Personal)'!$E$38="Menurun",'Spek Produk'!AH90,'Spek Produk'!AH148)</f>
        <v>0</v>
      </c>
      <c r="AI32" s="26">
        <f>IF('Simulasi Premi 1 (Personal)'!$E$38="Menurun",'Spek Produk'!AI90,'Spek Produk'!AI148)</f>
        <v>0</v>
      </c>
      <c r="AJ32" s="26">
        <f>IF('Simulasi Premi 1 (Personal)'!$E$38="Menurun",'Spek Produk'!AJ90,'Spek Produk'!AJ148)</f>
        <v>0</v>
      </c>
      <c r="AK32" s="26">
        <f>IF('Simulasi Premi 1 (Personal)'!$E$38="Menurun",'Spek Produk'!AK90,'Spek Produk'!AK148)</f>
        <v>0</v>
      </c>
      <c r="AL32" s="26">
        <f>IF('Simulasi Premi 1 (Personal)'!$E$38="Menurun",'Spek Produk'!AL90,'Spek Produk'!AL148)</f>
        <v>0</v>
      </c>
      <c r="AM32" s="26">
        <f>IF('Simulasi Premi 1 (Personal)'!$E$38="Menurun",'Spek Produk'!AM90,'Spek Produk'!AM148)</f>
        <v>0</v>
      </c>
      <c r="AN32" s="26">
        <f>IF('Simulasi Premi 1 (Personal)'!$E$38="Menurun",'Spek Produk'!AN90,'Spek Produk'!AN148)</f>
        <v>0</v>
      </c>
      <c r="AO32" s="26">
        <f>IF('Simulasi Premi 1 (Personal)'!$E$38="Menurun",'Spek Produk'!AO90,'Spek Produk'!AO148)</f>
        <v>0</v>
      </c>
      <c r="AP32" s="26">
        <f>IF('Simulasi Premi 1 (Personal)'!$E$38="Menurun",'Spek Produk'!AP90,'Spek Produk'!AP148)</f>
        <v>0</v>
      </c>
      <c r="AR32">
        <v>7</v>
      </c>
    </row>
    <row r="33" spans="2:64" x14ac:dyDescent="0.35">
      <c r="B33" s="7"/>
      <c r="C33" s="9" t="s">
        <v>89</v>
      </c>
      <c r="D33" s="9"/>
      <c r="E33" s="11" t="s">
        <v>24</v>
      </c>
      <c r="F33" s="141" t="str">
        <f>F21</f>
        <v>Konvensional</v>
      </c>
      <c r="G33" s="142"/>
      <c r="H33" s="142"/>
      <c r="I33" s="143"/>
      <c r="J33" s="10"/>
      <c r="L33" s="24">
        <f t="shared" si="0"/>
        <v>45</v>
      </c>
      <c r="M33" s="26">
        <f>IF('Simulasi Premi 1 (Personal)'!$E$38="Menurun",'Spek Produk'!M91,'Spek Produk'!M149)</f>
        <v>6.85</v>
      </c>
      <c r="N33" s="26">
        <f>IF('Simulasi Premi 1 (Personal)'!$E$38="Menurun",'Spek Produk'!N91,'Spek Produk'!N149)</f>
        <v>11.62</v>
      </c>
      <c r="O33" s="26">
        <f>IF('Simulasi Premi 1 (Personal)'!$E$38="Menurun",'Spek Produk'!O91,'Spek Produk'!O149)</f>
        <v>16.77</v>
      </c>
      <c r="P33" s="26">
        <f>IF('Simulasi Premi 1 (Personal)'!$E$38="Menurun",'Spek Produk'!P91,'Spek Produk'!P149)</f>
        <v>22.28</v>
      </c>
      <c r="Q33" s="26">
        <f>IF('Simulasi Premi 1 (Personal)'!$E$38="Menurun",'Spek Produk'!Q91,'Spek Produk'!Q149)</f>
        <v>28.12</v>
      </c>
      <c r="R33" s="26">
        <f>IF('Simulasi Premi 1 (Personal)'!$E$38="Menurun",'Spek Produk'!R91,'Spek Produk'!R149)</f>
        <v>34.26</v>
      </c>
      <c r="S33" s="26">
        <f>IF('Simulasi Premi 1 (Personal)'!$E$38="Menurun",'Spek Produk'!S91,'Spek Produk'!S149)</f>
        <v>40.68</v>
      </c>
      <c r="T33" s="26">
        <f>IF('Simulasi Premi 1 (Personal)'!$E$38="Menurun",'Spek Produk'!T91,'Spek Produk'!T149)</f>
        <v>47.4</v>
      </c>
      <c r="U33" s="26">
        <f>IF('Simulasi Premi 1 (Personal)'!$E$38="Menurun",'Spek Produk'!U91,'Spek Produk'!U149)</f>
        <v>54.4</v>
      </c>
      <c r="V33" s="26">
        <f>IF('Simulasi Premi 1 (Personal)'!$E$38="Menurun",'Spek Produk'!V91,'Spek Produk'!V149)</f>
        <v>61.68</v>
      </c>
      <c r="W33" s="26">
        <f>IF('Simulasi Premi 1 (Personal)'!$E$38="Menurun",'Spek Produk'!W91,'Spek Produk'!W149)</f>
        <v>66.66</v>
      </c>
      <c r="X33" s="26">
        <f>IF('Simulasi Premi 1 (Personal)'!$E$38="Menurun",'Spek Produk'!X91,'Spek Produk'!X149)</f>
        <v>71.64</v>
      </c>
      <c r="Y33" s="26">
        <f>IF('Simulasi Premi 1 (Personal)'!$E$38="Menurun",'Spek Produk'!Y91,'Spek Produk'!Y149)</f>
        <v>76.62</v>
      </c>
      <c r="Z33" s="26">
        <f>IF('Simulasi Premi 1 (Personal)'!$E$38="Menurun",'Spek Produk'!Z91,'Spek Produk'!Z149)</f>
        <v>81.599999999999994</v>
      </c>
      <c r="AA33" s="26">
        <f>IF('Simulasi Premi 1 (Personal)'!$E$38="Menurun",'Spek Produk'!AA91,'Spek Produk'!AA149)</f>
        <v>86.57</v>
      </c>
      <c r="AB33" s="26">
        <f>IF('Simulasi Premi 1 (Personal)'!$E$38="Menurun",'Spek Produk'!AB91,'Spek Produk'!AB149)</f>
        <v>90.23</v>
      </c>
      <c r="AC33" s="26">
        <f>IF('Simulasi Premi 1 (Personal)'!$E$38="Menurun",'Spek Produk'!AC91,'Spek Produk'!AC149)</f>
        <v>93.89</v>
      </c>
      <c r="AD33" s="26">
        <f>IF('Simulasi Premi 1 (Personal)'!$E$38="Menurun",'Spek Produk'!AD91,'Spek Produk'!AD149)</f>
        <v>97.55</v>
      </c>
      <c r="AE33" s="26">
        <f>IF('Simulasi Premi 1 (Personal)'!$E$38="Menurun",'Spek Produk'!AE91,'Spek Produk'!AE149)</f>
        <v>101.21</v>
      </c>
      <c r="AF33" s="26">
        <f>IF('Simulasi Premi 1 (Personal)'!$E$38="Menurun",'Spek Produk'!AF91,'Spek Produk'!AF149)</f>
        <v>104.89</v>
      </c>
      <c r="AG33" s="26">
        <f>IF('Simulasi Premi 1 (Personal)'!$E$38="Menurun",'Spek Produk'!AG91,'Spek Produk'!AG149)</f>
        <v>0</v>
      </c>
      <c r="AH33" s="26">
        <f>IF('Simulasi Premi 1 (Personal)'!$E$38="Menurun",'Spek Produk'!AH91,'Spek Produk'!AH149)</f>
        <v>0</v>
      </c>
      <c r="AI33" s="26">
        <f>IF('Simulasi Premi 1 (Personal)'!$E$38="Menurun",'Spek Produk'!AI91,'Spek Produk'!AI149)</f>
        <v>0</v>
      </c>
      <c r="AJ33" s="26">
        <f>IF('Simulasi Premi 1 (Personal)'!$E$38="Menurun",'Spek Produk'!AJ91,'Spek Produk'!AJ149)</f>
        <v>0</v>
      </c>
      <c r="AK33" s="26">
        <f>IF('Simulasi Premi 1 (Personal)'!$E$38="Menurun",'Spek Produk'!AK91,'Spek Produk'!AK149)</f>
        <v>0</v>
      </c>
      <c r="AL33" s="26">
        <f>IF('Simulasi Premi 1 (Personal)'!$E$38="Menurun",'Spek Produk'!AL91,'Spek Produk'!AL149)</f>
        <v>0</v>
      </c>
      <c r="AM33" s="26">
        <f>IF('Simulasi Premi 1 (Personal)'!$E$38="Menurun",'Spek Produk'!AM91,'Spek Produk'!AM149)</f>
        <v>0</v>
      </c>
      <c r="AN33" s="26">
        <f>IF('Simulasi Premi 1 (Personal)'!$E$38="Menurun",'Spek Produk'!AN91,'Spek Produk'!AN149)</f>
        <v>0</v>
      </c>
      <c r="AO33" s="26">
        <f>IF('Simulasi Premi 1 (Personal)'!$E$38="Menurun",'Spek Produk'!AO91,'Spek Produk'!AO149)</f>
        <v>0</v>
      </c>
      <c r="AP33" s="26">
        <f>IF('Simulasi Premi 1 (Personal)'!$E$38="Menurun",'Spek Produk'!AP91,'Spek Produk'!AP149)</f>
        <v>0</v>
      </c>
      <c r="AR33">
        <v>8</v>
      </c>
    </row>
    <row r="34" spans="2:64" x14ac:dyDescent="0.35">
      <c r="B34" s="7"/>
      <c r="C34" s="12" t="s">
        <v>38</v>
      </c>
      <c r="D34" s="12"/>
      <c r="E34" s="11" t="s">
        <v>24</v>
      </c>
      <c r="F34" s="13" t="s">
        <v>39</v>
      </c>
      <c r="G34" s="14">
        <f>G22</f>
        <v>0</v>
      </c>
      <c r="H34" s="13" t="s">
        <v>40</v>
      </c>
      <c r="I34" s="14">
        <f>I22</f>
        <v>20</v>
      </c>
      <c r="J34" s="10"/>
      <c r="L34" s="24">
        <f t="shared" si="0"/>
        <v>46</v>
      </c>
      <c r="M34" s="26">
        <f>IF('Simulasi Premi 1 (Personal)'!$E$38="Menurun",'Spek Produk'!M92,'Spek Produk'!M150)</f>
        <v>6.85</v>
      </c>
      <c r="N34" s="26">
        <f>IF('Simulasi Premi 1 (Personal)'!$E$38="Menurun",'Spek Produk'!N92,'Spek Produk'!N150)</f>
        <v>11.62</v>
      </c>
      <c r="O34" s="26">
        <f>IF('Simulasi Premi 1 (Personal)'!$E$38="Menurun",'Spek Produk'!O92,'Spek Produk'!O150)</f>
        <v>16.77</v>
      </c>
      <c r="P34" s="26">
        <f>IF('Simulasi Premi 1 (Personal)'!$E$38="Menurun",'Spek Produk'!P92,'Spek Produk'!P150)</f>
        <v>22.28</v>
      </c>
      <c r="Q34" s="26">
        <f>IF('Simulasi Premi 1 (Personal)'!$E$38="Menurun",'Spek Produk'!Q92,'Spek Produk'!Q150)</f>
        <v>28.12</v>
      </c>
      <c r="R34" s="26">
        <f>IF('Simulasi Premi 1 (Personal)'!$E$38="Menurun",'Spek Produk'!R92,'Spek Produk'!R150)</f>
        <v>34.26</v>
      </c>
      <c r="S34" s="26">
        <f>IF('Simulasi Premi 1 (Personal)'!$E$38="Menurun",'Spek Produk'!S92,'Spek Produk'!S150)</f>
        <v>40.68</v>
      </c>
      <c r="T34" s="26">
        <f>IF('Simulasi Premi 1 (Personal)'!$E$38="Menurun",'Spek Produk'!T92,'Spek Produk'!T150)</f>
        <v>47.4</v>
      </c>
      <c r="U34" s="26">
        <f>IF('Simulasi Premi 1 (Personal)'!$E$38="Menurun",'Spek Produk'!U92,'Spek Produk'!U150)</f>
        <v>54.4</v>
      </c>
      <c r="V34" s="26">
        <f>IF('Simulasi Premi 1 (Personal)'!$E$38="Menurun",'Spek Produk'!V92,'Spek Produk'!V150)</f>
        <v>61.68</v>
      </c>
      <c r="W34" s="26">
        <f>IF('Simulasi Premi 1 (Personal)'!$E$38="Menurun",'Spek Produk'!W92,'Spek Produk'!W150)</f>
        <v>66.66</v>
      </c>
      <c r="X34" s="26">
        <f>IF('Simulasi Premi 1 (Personal)'!$E$38="Menurun",'Spek Produk'!X92,'Spek Produk'!X150)</f>
        <v>71.64</v>
      </c>
      <c r="Y34" s="26">
        <f>IF('Simulasi Premi 1 (Personal)'!$E$38="Menurun",'Spek Produk'!Y92,'Spek Produk'!Y150)</f>
        <v>76.62</v>
      </c>
      <c r="Z34" s="26">
        <f>IF('Simulasi Premi 1 (Personal)'!$E$38="Menurun",'Spek Produk'!Z92,'Spek Produk'!Z150)</f>
        <v>81.599999999999994</v>
      </c>
      <c r="AA34" s="26">
        <f>IF('Simulasi Premi 1 (Personal)'!$E$38="Menurun",'Spek Produk'!AA92,'Spek Produk'!AA150)</f>
        <v>86.57</v>
      </c>
      <c r="AB34" s="26">
        <f>IF('Simulasi Premi 1 (Personal)'!$E$38="Menurun",'Spek Produk'!AB92,'Spek Produk'!AB150)</f>
        <v>90.23</v>
      </c>
      <c r="AC34" s="26">
        <f>IF('Simulasi Premi 1 (Personal)'!$E$38="Menurun",'Spek Produk'!AC92,'Spek Produk'!AC150)</f>
        <v>93.89</v>
      </c>
      <c r="AD34" s="26">
        <f>IF('Simulasi Premi 1 (Personal)'!$E$38="Menurun",'Spek Produk'!AD92,'Spek Produk'!AD150)</f>
        <v>97.55</v>
      </c>
      <c r="AE34" s="26">
        <f>IF('Simulasi Premi 1 (Personal)'!$E$38="Menurun",'Spek Produk'!AE92,'Spek Produk'!AE150)</f>
        <v>101.21</v>
      </c>
      <c r="AF34" s="26">
        <f>IF('Simulasi Premi 1 (Personal)'!$E$38="Menurun",'Spek Produk'!AF92,'Spek Produk'!AF150)</f>
        <v>104.89</v>
      </c>
      <c r="AG34" s="26">
        <f>IF('Simulasi Premi 1 (Personal)'!$E$38="Menurun",'Spek Produk'!AG92,'Spek Produk'!AG150)</f>
        <v>0</v>
      </c>
      <c r="AH34" s="26">
        <f>IF('Simulasi Premi 1 (Personal)'!$E$38="Menurun",'Spek Produk'!AH92,'Spek Produk'!AH150)</f>
        <v>0</v>
      </c>
      <c r="AI34" s="26">
        <f>IF('Simulasi Premi 1 (Personal)'!$E$38="Menurun",'Spek Produk'!AI92,'Spek Produk'!AI150)</f>
        <v>0</v>
      </c>
      <c r="AJ34" s="26">
        <f>IF('Simulasi Premi 1 (Personal)'!$E$38="Menurun",'Spek Produk'!AJ92,'Spek Produk'!AJ150)</f>
        <v>0</v>
      </c>
      <c r="AK34" s="26">
        <f>IF('Simulasi Premi 1 (Personal)'!$E$38="Menurun",'Spek Produk'!AK92,'Spek Produk'!AK150)</f>
        <v>0</v>
      </c>
      <c r="AL34" s="26">
        <f>IF('Simulasi Premi 1 (Personal)'!$E$38="Menurun",'Spek Produk'!AL92,'Spek Produk'!AL150)</f>
        <v>0</v>
      </c>
      <c r="AM34" s="26">
        <f>IF('Simulasi Premi 1 (Personal)'!$E$38="Menurun",'Spek Produk'!AM92,'Spek Produk'!AM150)</f>
        <v>0</v>
      </c>
      <c r="AN34" s="26">
        <f>IF('Simulasi Premi 1 (Personal)'!$E$38="Menurun",'Spek Produk'!AN92,'Spek Produk'!AN150)</f>
        <v>0</v>
      </c>
      <c r="AO34" s="26">
        <f>IF('Simulasi Premi 1 (Personal)'!$E$38="Menurun",'Spek Produk'!AO92,'Spek Produk'!AO150)</f>
        <v>0</v>
      </c>
      <c r="AP34" s="26">
        <f>IF('Simulasi Premi 1 (Personal)'!$E$38="Menurun",'Spek Produk'!AP92,'Spek Produk'!AP150)</f>
        <v>0</v>
      </c>
      <c r="AR34">
        <v>9</v>
      </c>
    </row>
    <row r="35" spans="2:64" x14ac:dyDescent="0.35">
      <c r="B35" s="7"/>
      <c r="C35" s="12" t="s">
        <v>41</v>
      </c>
      <c r="D35" s="12"/>
      <c r="E35" s="11" t="s">
        <v>24</v>
      </c>
      <c r="F35" s="13" t="s">
        <v>39</v>
      </c>
      <c r="G35" s="14">
        <f>G23</f>
        <v>20</v>
      </c>
      <c r="H35" s="13" t="s">
        <v>40</v>
      </c>
      <c r="I35" s="14">
        <f>I23</f>
        <v>60</v>
      </c>
      <c r="J35" s="10"/>
      <c r="L35" s="24">
        <f t="shared" si="0"/>
        <v>47</v>
      </c>
      <c r="M35" s="26">
        <f>IF('Simulasi Premi 1 (Personal)'!$E$38="Menurun",'Spek Produk'!M93,'Spek Produk'!M151)</f>
        <v>6.85</v>
      </c>
      <c r="N35" s="26">
        <f>IF('Simulasi Premi 1 (Personal)'!$E$38="Menurun",'Spek Produk'!N93,'Spek Produk'!N151)</f>
        <v>11.62</v>
      </c>
      <c r="O35" s="26">
        <f>IF('Simulasi Premi 1 (Personal)'!$E$38="Menurun",'Spek Produk'!O93,'Spek Produk'!O151)</f>
        <v>16.77</v>
      </c>
      <c r="P35" s="26">
        <f>IF('Simulasi Premi 1 (Personal)'!$E$38="Menurun",'Spek Produk'!P93,'Spek Produk'!P151)</f>
        <v>22.28</v>
      </c>
      <c r="Q35" s="26">
        <f>IF('Simulasi Premi 1 (Personal)'!$E$38="Menurun",'Spek Produk'!Q93,'Spek Produk'!Q151)</f>
        <v>28.12</v>
      </c>
      <c r="R35" s="26">
        <f>IF('Simulasi Premi 1 (Personal)'!$E$38="Menurun",'Spek Produk'!R93,'Spek Produk'!R151)</f>
        <v>34.26</v>
      </c>
      <c r="S35" s="26">
        <f>IF('Simulasi Premi 1 (Personal)'!$E$38="Menurun",'Spek Produk'!S93,'Spek Produk'!S151)</f>
        <v>40.68</v>
      </c>
      <c r="T35" s="26">
        <f>IF('Simulasi Premi 1 (Personal)'!$E$38="Menurun",'Spek Produk'!T93,'Spek Produk'!T151)</f>
        <v>47.4</v>
      </c>
      <c r="U35" s="26">
        <f>IF('Simulasi Premi 1 (Personal)'!$E$38="Menurun",'Spek Produk'!U93,'Spek Produk'!U151)</f>
        <v>54.4</v>
      </c>
      <c r="V35" s="26">
        <f>IF('Simulasi Premi 1 (Personal)'!$E$38="Menurun",'Spek Produk'!V93,'Spek Produk'!V151)</f>
        <v>61.68</v>
      </c>
      <c r="W35" s="26">
        <f>IF('Simulasi Premi 1 (Personal)'!$E$38="Menurun",'Spek Produk'!W93,'Spek Produk'!W151)</f>
        <v>66.66</v>
      </c>
      <c r="X35" s="26">
        <f>IF('Simulasi Premi 1 (Personal)'!$E$38="Menurun",'Spek Produk'!X93,'Spek Produk'!X151)</f>
        <v>71.64</v>
      </c>
      <c r="Y35" s="26">
        <f>IF('Simulasi Premi 1 (Personal)'!$E$38="Menurun",'Spek Produk'!Y93,'Spek Produk'!Y151)</f>
        <v>76.62</v>
      </c>
      <c r="Z35" s="26">
        <f>IF('Simulasi Premi 1 (Personal)'!$E$38="Menurun",'Spek Produk'!Z93,'Spek Produk'!Z151)</f>
        <v>81.599999999999994</v>
      </c>
      <c r="AA35" s="26">
        <f>IF('Simulasi Premi 1 (Personal)'!$E$38="Menurun",'Spek Produk'!AA93,'Spek Produk'!AA151)</f>
        <v>86.57</v>
      </c>
      <c r="AB35" s="26">
        <f>IF('Simulasi Premi 1 (Personal)'!$E$38="Menurun",'Spek Produk'!AB93,'Spek Produk'!AB151)</f>
        <v>90.23</v>
      </c>
      <c r="AC35" s="26">
        <f>IF('Simulasi Premi 1 (Personal)'!$E$38="Menurun",'Spek Produk'!AC93,'Spek Produk'!AC151)</f>
        <v>93.89</v>
      </c>
      <c r="AD35" s="26">
        <f>IF('Simulasi Premi 1 (Personal)'!$E$38="Menurun",'Spek Produk'!AD93,'Spek Produk'!AD151)</f>
        <v>97.55</v>
      </c>
      <c r="AE35" s="26">
        <f>IF('Simulasi Premi 1 (Personal)'!$E$38="Menurun",'Spek Produk'!AE93,'Spek Produk'!AE151)</f>
        <v>101.21</v>
      </c>
      <c r="AF35" s="26">
        <f>IF('Simulasi Premi 1 (Personal)'!$E$38="Menurun",'Spek Produk'!AF93,'Spek Produk'!AF151)</f>
        <v>104.89</v>
      </c>
      <c r="AG35" s="26">
        <f>IF('Simulasi Premi 1 (Personal)'!$E$38="Menurun",'Spek Produk'!AG93,'Spek Produk'!AG151)</f>
        <v>0</v>
      </c>
      <c r="AH35" s="26">
        <f>IF('Simulasi Premi 1 (Personal)'!$E$38="Menurun",'Spek Produk'!AH93,'Spek Produk'!AH151)</f>
        <v>0</v>
      </c>
      <c r="AI35" s="26">
        <f>IF('Simulasi Premi 1 (Personal)'!$E$38="Menurun",'Spek Produk'!AI93,'Spek Produk'!AI151)</f>
        <v>0</v>
      </c>
      <c r="AJ35" s="26">
        <f>IF('Simulasi Premi 1 (Personal)'!$E$38="Menurun",'Spek Produk'!AJ93,'Spek Produk'!AJ151)</f>
        <v>0</v>
      </c>
      <c r="AK35" s="26">
        <f>IF('Simulasi Premi 1 (Personal)'!$E$38="Menurun",'Spek Produk'!AK93,'Spek Produk'!AK151)</f>
        <v>0</v>
      </c>
      <c r="AL35" s="26">
        <f>IF('Simulasi Premi 1 (Personal)'!$E$38="Menurun",'Spek Produk'!AL93,'Spek Produk'!AL151)</f>
        <v>0</v>
      </c>
      <c r="AM35" s="26">
        <f>IF('Simulasi Premi 1 (Personal)'!$E$38="Menurun",'Spek Produk'!AM93,'Spek Produk'!AM151)</f>
        <v>0</v>
      </c>
      <c r="AN35" s="26">
        <f>IF('Simulasi Premi 1 (Personal)'!$E$38="Menurun",'Spek Produk'!AN93,'Spek Produk'!AN151)</f>
        <v>0</v>
      </c>
      <c r="AO35" s="26">
        <f>IF('Simulasi Premi 1 (Personal)'!$E$38="Menurun",'Spek Produk'!AO93,'Spek Produk'!AO151)</f>
        <v>0</v>
      </c>
      <c r="AP35" s="26">
        <f>IF('Simulasi Premi 1 (Personal)'!$E$38="Menurun",'Spek Produk'!AP93,'Spek Produk'!AP151)</f>
        <v>0</v>
      </c>
      <c r="AR35">
        <v>10</v>
      </c>
    </row>
    <row r="36" spans="2:64" x14ac:dyDescent="0.35">
      <c r="B36" s="7"/>
      <c r="C36" s="12" t="s">
        <v>42</v>
      </c>
      <c r="D36" s="12"/>
      <c r="E36" s="11" t="s">
        <v>24</v>
      </c>
      <c r="F36" s="136" t="s">
        <v>43</v>
      </c>
      <c r="G36" s="137"/>
      <c r="H36" s="14">
        <f>H24</f>
        <v>70</v>
      </c>
      <c r="I36" s="16"/>
      <c r="J36" s="17"/>
      <c r="L36" s="24">
        <f t="shared" si="0"/>
        <v>48</v>
      </c>
      <c r="M36" s="26">
        <f>IF('Simulasi Premi 1 (Personal)'!$E$38="Menurun",'Spek Produk'!M94,'Spek Produk'!M152)</f>
        <v>6.85</v>
      </c>
      <c r="N36" s="26">
        <f>IF('Simulasi Premi 1 (Personal)'!$E$38="Menurun",'Spek Produk'!N94,'Spek Produk'!N152)</f>
        <v>11.62</v>
      </c>
      <c r="O36" s="26">
        <f>IF('Simulasi Premi 1 (Personal)'!$E$38="Menurun",'Spek Produk'!O94,'Spek Produk'!O152)</f>
        <v>16.77</v>
      </c>
      <c r="P36" s="26">
        <f>IF('Simulasi Premi 1 (Personal)'!$E$38="Menurun",'Spek Produk'!P94,'Spek Produk'!P152)</f>
        <v>22.28</v>
      </c>
      <c r="Q36" s="26">
        <f>IF('Simulasi Premi 1 (Personal)'!$E$38="Menurun",'Spek Produk'!Q94,'Spek Produk'!Q152)</f>
        <v>28.12</v>
      </c>
      <c r="R36" s="26">
        <f>IF('Simulasi Premi 1 (Personal)'!$E$38="Menurun",'Spek Produk'!R94,'Spek Produk'!R152)</f>
        <v>34.26</v>
      </c>
      <c r="S36" s="26">
        <f>IF('Simulasi Premi 1 (Personal)'!$E$38="Menurun",'Spek Produk'!S94,'Spek Produk'!S152)</f>
        <v>40.68</v>
      </c>
      <c r="T36" s="26">
        <f>IF('Simulasi Premi 1 (Personal)'!$E$38="Menurun",'Spek Produk'!T94,'Spek Produk'!T152)</f>
        <v>47.4</v>
      </c>
      <c r="U36" s="26">
        <f>IF('Simulasi Premi 1 (Personal)'!$E$38="Menurun",'Spek Produk'!U94,'Spek Produk'!U152)</f>
        <v>54.4</v>
      </c>
      <c r="V36" s="26">
        <f>IF('Simulasi Premi 1 (Personal)'!$E$38="Menurun",'Spek Produk'!V94,'Spek Produk'!V152)</f>
        <v>61.68</v>
      </c>
      <c r="W36" s="26">
        <f>IF('Simulasi Premi 1 (Personal)'!$E$38="Menurun",'Spek Produk'!W94,'Spek Produk'!W152)</f>
        <v>66.66</v>
      </c>
      <c r="X36" s="26">
        <f>IF('Simulasi Premi 1 (Personal)'!$E$38="Menurun",'Spek Produk'!X94,'Spek Produk'!X152)</f>
        <v>71.64</v>
      </c>
      <c r="Y36" s="26">
        <f>IF('Simulasi Premi 1 (Personal)'!$E$38="Menurun",'Spek Produk'!Y94,'Spek Produk'!Y152)</f>
        <v>76.62</v>
      </c>
      <c r="Z36" s="26">
        <f>IF('Simulasi Premi 1 (Personal)'!$E$38="Menurun",'Spek Produk'!Z94,'Spek Produk'!Z152)</f>
        <v>81.599999999999994</v>
      </c>
      <c r="AA36" s="26">
        <f>IF('Simulasi Premi 1 (Personal)'!$E$38="Menurun",'Spek Produk'!AA94,'Spek Produk'!AA152)</f>
        <v>86.57</v>
      </c>
      <c r="AB36" s="26">
        <f>IF('Simulasi Premi 1 (Personal)'!$E$38="Menurun",'Spek Produk'!AB94,'Spek Produk'!AB152)</f>
        <v>90.23</v>
      </c>
      <c r="AC36" s="26">
        <f>IF('Simulasi Premi 1 (Personal)'!$E$38="Menurun",'Spek Produk'!AC94,'Spek Produk'!AC152)</f>
        <v>93.89</v>
      </c>
      <c r="AD36" s="26">
        <f>IF('Simulasi Premi 1 (Personal)'!$E$38="Menurun",'Spek Produk'!AD94,'Spek Produk'!AD152)</f>
        <v>97.55</v>
      </c>
      <c r="AE36" s="26">
        <f>IF('Simulasi Premi 1 (Personal)'!$E$38="Menurun",'Spek Produk'!AE94,'Spek Produk'!AE152)</f>
        <v>101.21</v>
      </c>
      <c r="AF36" s="26">
        <f>IF('Simulasi Premi 1 (Personal)'!$E$38="Menurun",'Spek Produk'!AF94,'Spek Produk'!AF152)</f>
        <v>104.89</v>
      </c>
      <c r="AG36" s="26">
        <f>IF('Simulasi Premi 1 (Personal)'!$E$38="Menurun",'Spek Produk'!AG94,'Spek Produk'!AG152)</f>
        <v>0</v>
      </c>
      <c r="AH36" s="26">
        <f>IF('Simulasi Premi 1 (Personal)'!$E$38="Menurun",'Spek Produk'!AH94,'Spek Produk'!AH152)</f>
        <v>0</v>
      </c>
      <c r="AI36" s="26">
        <f>IF('Simulasi Premi 1 (Personal)'!$E$38="Menurun",'Spek Produk'!AI94,'Spek Produk'!AI152)</f>
        <v>0</v>
      </c>
      <c r="AJ36" s="26">
        <f>IF('Simulasi Premi 1 (Personal)'!$E$38="Menurun",'Spek Produk'!AJ94,'Spek Produk'!AJ152)</f>
        <v>0</v>
      </c>
      <c r="AK36" s="26">
        <f>IF('Simulasi Premi 1 (Personal)'!$E$38="Menurun",'Spek Produk'!AK94,'Spek Produk'!AK152)</f>
        <v>0</v>
      </c>
      <c r="AL36" s="26">
        <f>IF('Simulasi Premi 1 (Personal)'!$E$38="Menurun",'Spek Produk'!AL94,'Spek Produk'!AL152)</f>
        <v>0</v>
      </c>
      <c r="AM36" s="26">
        <f>IF('Simulasi Premi 1 (Personal)'!$E$38="Menurun",'Spek Produk'!AM94,'Spek Produk'!AM152)</f>
        <v>0</v>
      </c>
      <c r="AN36" s="26">
        <f>IF('Simulasi Premi 1 (Personal)'!$E$38="Menurun",'Spek Produk'!AN94,'Spek Produk'!AN152)</f>
        <v>0</v>
      </c>
      <c r="AO36" s="26">
        <f>IF('Simulasi Premi 1 (Personal)'!$E$38="Menurun",'Spek Produk'!AO94,'Spek Produk'!AO152)</f>
        <v>0</v>
      </c>
      <c r="AP36" s="26">
        <f>IF('Simulasi Premi 1 (Personal)'!$E$38="Menurun",'Spek Produk'!AP94,'Spek Produk'!AP152)</f>
        <v>0</v>
      </c>
      <c r="AR36">
        <v>11</v>
      </c>
    </row>
    <row r="37" spans="2:64" x14ac:dyDescent="0.35">
      <c r="B37" s="18"/>
      <c r="C37" s="19"/>
      <c r="D37" s="19"/>
      <c r="E37" s="20"/>
      <c r="F37" s="20"/>
      <c r="G37" s="20"/>
      <c r="H37" s="21"/>
      <c r="I37" s="21"/>
      <c r="J37" s="22"/>
      <c r="L37" s="24">
        <f t="shared" si="0"/>
        <v>49</v>
      </c>
      <c r="M37" s="26">
        <f>IF('Simulasi Premi 1 (Personal)'!$E$38="Menurun",'Spek Produk'!M95,'Spek Produk'!M153)</f>
        <v>6.85</v>
      </c>
      <c r="N37" s="26">
        <f>IF('Simulasi Premi 1 (Personal)'!$E$38="Menurun",'Spek Produk'!N95,'Spek Produk'!N153)</f>
        <v>11.62</v>
      </c>
      <c r="O37" s="26">
        <f>IF('Simulasi Premi 1 (Personal)'!$E$38="Menurun",'Spek Produk'!O95,'Spek Produk'!O153)</f>
        <v>16.77</v>
      </c>
      <c r="P37" s="26">
        <f>IF('Simulasi Premi 1 (Personal)'!$E$38="Menurun",'Spek Produk'!P95,'Spek Produk'!P153)</f>
        <v>22.28</v>
      </c>
      <c r="Q37" s="26">
        <f>IF('Simulasi Premi 1 (Personal)'!$E$38="Menurun",'Spek Produk'!Q95,'Spek Produk'!Q153)</f>
        <v>28.12</v>
      </c>
      <c r="R37" s="26">
        <f>IF('Simulasi Premi 1 (Personal)'!$E$38="Menurun",'Spek Produk'!R95,'Spek Produk'!R153)</f>
        <v>34.26</v>
      </c>
      <c r="S37" s="26">
        <f>IF('Simulasi Premi 1 (Personal)'!$E$38="Menurun",'Spek Produk'!S95,'Spek Produk'!S153)</f>
        <v>40.68</v>
      </c>
      <c r="T37" s="26">
        <f>IF('Simulasi Premi 1 (Personal)'!$E$38="Menurun",'Spek Produk'!T95,'Spek Produk'!T153)</f>
        <v>47.4</v>
      </c>
      <c r="U37" s="26">
        <f>IF('Simulasi Premi 1 (Personal)'!$E$38="Menurun",'Spek Produk'!U95,'Spek Produk'!U153)</f>
        <v>54.4</v>
      </c>
      <c r="V37" s="26">
        <f>IF('Simulasi Premi 1 (Personal)'!$E$38="Menurun",'Spek Produk'!V95,'Spek Produk'!V153)</f>
        <v>61.68</v>
      </c>
      <c r="W37" s="26">
        <f>IF('Simulasi Premi 1 (Personal)'!$E$38="Menurun",'Spek Produk'!W95,'Spek Produk'!W153)</f>
        <v>66.66</v>
      </c>
      <c r="X37" s="26">
        <f>IF('Simulasi Premi 1 (Personal)'!$E$38="Menurun",'Spek Produk'!X95,'Spek Produk'!X153)</f>
        <v>71.64</v>
      </c>
      <c r="Y37" s="26">
        <f>IF('Simulasi Premi 1 (Personal)'!$E$38="Menurun",'Spek Produk'!Y95,'Spek Produk'!Y153)</f>
        <v>76.62</v>
      </c>
      <c r="Z37" s="26">
        <f>IF('Simulasi Premi 1 (Personal)'!$E$38="Menurun",'Spek Produk'!Z95,'Spek Produk'!Z153)</f>
        <v>81.599999999999994</v>
      </c>
      <c r="AA37" s="26">
        <f>IF('Simulasi Premi 1 (Personal)'!$E$38="Menurun",'Spek Produk'!AA95,'Spek Produk'!AA153)</f>
        <v>86.57</v>
      </c>
      <c r="AB37" s="26">
        <f>IF('Simulasi Premi 1 (Personal)'!$E$38="Menurun",'Spek Produk'!AB95,'Spek Produk'!AB153)</f>
        <v>90.23</v>
      </c>
      <c r="AC37" s="26">
        <f>IF('Simulasi Premi 1 (Personal)'!$E$38="Menurun",'Spek Produk'!AC95,'Spek Produk'!AC153)</f>
        <v>93.89</v>
      </c>
      <c r="AD37" s="26">
        <f>IF('Simulasi Premi 1 (Personal)'!$E$38="Menurun",'Spek Produk'!AD95,'Spek Produk'!AD153)</f>
        <v>97.55</v>
      </c>
      <c r="AE37" s="26">
        <f>IF('Simulasi Premi 1 (Personal)'!$E$38="Menurun",'Spek Produk'!AE95,'Spek Produk'!AE153)</f>
        <v>101.21</v>
      </c>
      <c r="AF37" s="26">
        <f>IF('Simulasi Premi 1 (Personal)'!$E$38="Menurun",'Spek Produk'!AF95,'Spek Produk'!AF153)</f>
        <v>104.89</v>
      </c>
      <c r="AG37" s="26">
        <f>IF('Simulasi Premi 1 (Personal)'!$E$38="Menurun",'Spek Produk'!AG95,'Spek Produk'!AG153)</f>
        <v>0</v>
      </c>
      <c r="AH37" s="26">
        <f>IF('Simulasi Premi 1 (Personal)'!$E$38="Menurun",'Spek Produk'!AH95,'Spek Produk'!AH153)</f>
        <v>0</v>
      </c>
      <c r="AI37" s="26">
        <f>IF('Simulasi Premi 1 (Personal)'!$E$38="Menurun",'Spek Produk'!AI95,'Spek Produk'!AI153)</f>
        <v>0</v>
      </c>
      <c r="AJ37" s="26">
        <f>IF('Simulasi Premi 1 (Personal)'!$E$38="Menurun",'Spek Produk'!AJ95,'Spek Produk'!AJ153)</f>
        <v>0</v>
      </c>
      <c r="AK37" s="26">
        <f>IF('Simulasi Premi 1 (Personal)'!$E$38="Menurun",'Spek Produk'!AK95,'Spek Produk'!AK153)</f>
        <v>0</v>
      </c>
      <c r="AL37" s="26">
        <f>IF('Simulasi Premi 1 (Personal)'!$E$38="Menurun",'Spek Produk'!AL95,'Spek Produk'!AL153)</f>
        <v>0</v>
      </c>
      <c r="AM37" s="26">
        <f>IF('Simulasi Premi 1 (Personal)'!$E$38="Menurun",'Spek Produk'!AM95,'Spek Produk'!AM153)</f>
        <v>0</v>
      </c>
      <c r="AN37" s="26">
        <f>IF('Simulasi Premi 1 (Personal)'!$E$38="Menurun",'Spek Produk'!AN95,'Spek Produk'!AN153)</f>
        <v>0</v>
      </c>
      <c r="AO37" s="26">
        <f>IF('Simulasi Premi 1 (Personal)'!$E$38="Menurun",'Spek Produk'!AO95,'Spek Produk'!AO153)</f>
        <v>0</v>
      </c>
      <c r="AP37" s="26">
        <f>IF('Simulasi Premi 1 (Personal)'!$E$38="Menurun",'Spek Produk'!AP95,'Spek Produk'!AP153)</f>
        <v>0</v>
      </c>
    </row>
    <row r="38" spans="2:64" x14ac:dyDescent="0.35">
      <c r="L38" s="24">
        <f t="shared" si="0"/>
        <v>50</v>
      </c>
      <c r="M38" s="26">
        <f>IF('Simulasi Premi 1 (Personal)'!$E$38="Menurun",'Spek Produk'!M96,'Spek Produk'!M154)</f>
        <v>6.85</v>
      </c>
      <c r="N38" s="26">
        <f>IF('Simulasi Premi 1 (Personal)'!$E$38="Menurun",'Spek Produk'!N96,'Spek Produk'!N154)</f>
        <v>11.62</v>
      </c>
      <c r="O38" s="26">
        <f>IF('Simulasi Premi 1 (Personal)'!$E$38="Menurun",'Spek Produk'!O96,'Spek Produk'!O154)</f>
        <v>16.77</v>
      </c>
      <c r="P38" s="26">
        <f>IF('Simulasi Premi 1 (Personal)'!$E$38="Menurun",'Spek Produk'!P96,'Spek Produk'!P154)</f>
        <v>22.28</v>
      </c>
      <c r="Q38" s="26">
        <f>IF('Simulasi Premi 1 (Personal)'!$E$38="Menurun",'Spek Produk'!Q96,'Spek Produk'!Q154)</f>
        <v>28.12</v>
      </c>
      <c r="R38" s="26">
        <f>IF('Simulasi Premi 1 (Personal)'!$E$38="Menurun",'Spek Produk'!R96,'Spek Produk'!R154)</f>
        <v>34.26</v>
      </c>
      <c r="S38" s="26">
        <f>IF('Simulasi Premi 1 (Personal)'!$E$38="Menurun",'Spek Produk'!S96,'Spek Produk'!S154)</f>
        <v>40.68</v>
      </c>
      <c r="T38" s="26">
        <f>IF('Simulasi Premi 1 (Personal)'!$E$38="Menurun",'Spek Produk'!T96,'Spek Produk'!T154)</f>
        <v>47.4</v>
      </c>
      <c r="U38" s="26">
        <f>IF('Simulasi Premi 1 (Personal)'!$E$38="Menurun",'Spek Produk'!U96,'Spek Produk'!U154)</f>
        <v>54.4</v>
      </c>
      <c r="V38" s="26">
        <f>IF('Simulasi Premi 1 (Personal)'!$E$38="Menurun",'Spek Produk'!V96,'Spek Produk'!V154)</f>
        <v>61.68</v>
      </c>
      <c r="W38" s="26">
        <f>IF('Simulasi Premi 1 (Personal)'!$E$38="Menurun",'Spek Produk'!W96,'Spek Produk'!W154)</f>
        <v>66.66</v>
      </c>
      <c r="X38" s="26">
        <f>IF('Simulasi Premi 1 (Personal)'!$E$38="Menurun",'Spek Produk'!X96,'Spek Produk'!X154)</f>
        <v>71.64</v>
      </c>
      <c r="Y38" s="26">
        <f>IF('Simulasi Premi 1 (Personal)'!$E$38="Menurun",'Spek Produk'!Y96,'Spek Produk'!Y154)</f>
        <v>76.62</v>
      </c>
      <c r="Z38" s="26">
        <f>IF('Simulasi Premi 1 (Personal)'!$E$38="Menurun",'Spek Produk'!Z96,'Spek Produk'!Z154)</f>
        <v>81.599999999999994</v>
      </c>
      <c r="AA38" s="26">
        <f>IF('Simulasi Premi 1 (Personal)'!$E$38="Menurun",'Spek Produk'!AA96,'Spek Produk'!AA154)</f>
        <v>86.57</v>
      </c>
      <c r="AB38" s="26">
        <f>IF('Simulasi Premi 1 (Personal)'!$E$38="Menurun",'Spek Produk'!AB96,'Spek Produk'!AB154)</f>
        <v>90.23</v>
      </c>
      <c r="AC38" s="26">
        <f>IF('Simulasi Premi 1 (Personal)'!$E$38="Menurun",'Spek Produk'!AC96,'Spek Produk'!AC154)</f>
        <v>93.89</v>
      </c>
      <c r="AD38" s="26">
        <f>IF('Simulasi Premi 1 (Personal)'!$E$38="Menurun",'Spek Produk'!AD96,'Spek Produk'!AD154)</f>
        <v>97.55</v>
      </c>
      <c r="AE38" s="26">
        <f>IF('Simulasi Premi 1 (Personal)'!$E$38="Menurun",'Spek Produk'!AE96,'Spek Produk'!AE154)</f>
        <v>101.21</v>
      </c>
      <c r="AF38" s="26">
        <f>IF('Simulasi Premi 1 (Personal)'!$E$38="Menurun",'Spek Produk'!AF96,'Spek Produk'!AF154)</f>
        <v>104.89</v>
      </c>
      <c r="AG38" s="26">
        <f>IF('Simulasi Premi 1 (Personal)'!$E$38="Menurun",'Spek Produk'!AG96,'Spek Produk'!AG154)</f>
        <v>0</v>
      </c>
      <c r="AH38" s="26">
        <f>IF('Simulasi Premi 1 (Personal)'!$E$38="Menurun",'Spek Produk'!AH96,'Spek Produk'!AH154)</f>
        <v>0</v>
      </c>
      <c r="AI38" s="26">
        <f>IF('Simulasi Premi 1 (Personal)'!$E$38="Menurun",'Spek Produk'!AI96,'Spek Produk'!AI154)</f>
        <v>0</v>
      </c>
      <c r="AJ38" s="26">
        <f>IF('Simulasi Premi 1 (Personal)'!$E$38="Menurun",'Spek Produk'!AJ96,'Spek Produk'!AJ154)</f>
        <v>0</v>
      </c>
      <c r="AK38" s="26">
        <f>IF('Simulasi Premi 1 (Personal)'!$E$38="Menurun",'Spek Produk'!AK96,'Spek Produk'!AK154)</f>
        <v>0</v>
      </c>
      <c r="AL38" s="26">
        <f>IF('Simulasi Premi 1 (Personal)'!$E$38="Menurun",'Spek Produk'!AL96,'Spek Produk'!AL154)</f>
        <v>0</v>
      </c>
      <c r="AM38" s="26">
        <f>IF('Simulasi Premi 1 (Personal)'!$E$38="Menurun",'Spek Produk'!AM96,'Spek Produk'!AM154)</f>
        <v>0</v>
      </c>
      <c r="AN38" s="26">
        <f>IF('Simulasi Premi 1 (Personal)'!$E$38="Menurun",'Spek Produk'!AN96,'Spek Produk'!AN154)</f>
        <v>0</v>
      </c>
      <c r="AO38" s="26">
        <f>IF('Simulasi Premi 1 (Personal)'!$E$38="Menurun",'Spek Produk'!AO96,'Spek Produk'!AO154)</f>
        <v>0</v>
      </c>
      <c r="AP38" s="26">
        <f>IF('Simulasi Premi 1 (Personal)'!$E$38="Menurun",'Spek Produk'!AP96,'Spek Produk'!AP154)</f>
        <v>0</v>
      </c>
      <c r="AR38" t="s">
        <v>96</v>
      </c>
    </row>
    <row r="39" spans="2:64" x14ac:dyDescent="0.35">
      <c r="L39" s="24">
        <f t="shared" si="0"/>
        <v>51</v>
      </c>
      <c r="M39" s="26">
        <f>IF('Simulasi Premi 1 (Personal)'!$E$38="Menurun",'Spek Produk'!M97,'Spek Produk'!M155)</f>
        <v>6.85</v>
      </c>
      <c r="N39" s="26">
        <f>IF('Simulasi Premi 1 (Personal)'!$E$38="Menurun",'Spek Produk'!N97,'Spek Produk'!N155)</f>
        <v>11.62</v>
      </c>
      <c r="O39" s="26">
        <f>IF('Simulasi Premi 1 (Personal)'!$E$38="Menurun",'Spek Produk'!O97,'Spek Produk'!O155)</f>
        <v>16.77</v>
      </c>
      <c r="P39" s="26">
        <f>IF('Simulasi Premi 1 (Personal)'!$E$38="Menurun",'Spek Produk'!P97,'Spek Produk'!P155)</f>
        <v>22.28</v>
      </c>
      <c r="Q39" s="26">
        <f>IF('Simulasi Premi 1 (Personal)'!$E$38="Menurun",'Spek Produk'!Q97,'Spek Produk'!Q155)</f>
        <v>28.12</v>
      </c>
      <c r="R39" s="26">
        <f>IF('Simulasi Premi 1 (Personal)'!$E$38="Menurun",'Spek Produk'!R97,'Spek Produk'!R155)</f>
        <v>34.26</v>
      </c>
      <c r="S39" s="26">
        <f>IF('Simulasi Premi 1 (Personal)'!$E$38="Menurun",'Spek Produk'!S97,'Spek Produk'!S155)</f>
        <v>40.68</v>
      </c>
      <c r="T39" s="26">
        <f>IF('Simulasi Premi 1 (Personal)'!$E$38="Menurun",'Spek Produk'!T97,'Spek Produk'!T155)</f>
        <v>47.4</v>
      </c>
      <c r="U39" s="26">
        <f>IF('Simulasi Premi 1 (Personal)'!$E$38="Menurun",'Spek Produk'!U97,'Spek Produk'!U155)</f>
        <v>54.4</v>
      </c>
      <c r="V39" s="26">
        <f>IF('Simulasi Premi 1 (Personal)'!$E$38="Menurun",'Spek Produk'!V97,'Spek Produk'!V155)</f>
        <v>61.68</v>
      </c>
      <c r="W39" s="26">
        <f>IF('Simulasi Premi 1 (Personal)'!$E$38="Menurun",'Spek Produk'!W97,'Spek Produk'!W155)</f>
        <v>66.66</v>
      </c>
      <c r="X39" s="26">
        <f>IF('Simulasi Premi 1 (Personal)'!$E$38="Menurun",'Spek Produk'!X97,'Spek Produk'!X155)</f>
        <v>71.64</v>
      </c>
      <c r="Y39" s="26">
        <f>IF('Simulasi Premi 1 (Personal)'!$E$38="Menurun",'Spek Produk'!Y97,'Spek Produk'!Y155)</f>
        <v>76.62</v>
      </c>
      <c r="Z39" s="26">
        <f>IF('Simulasi Premi 1 (Personal)'!$E$38="Menurun",'Spek Produk'!Z97,'Spek Produk'!Z155)</f>
        <v>81.599999999999994</v>
      </c>
      <c r="AA39" s="26">
        <f>IF('Simulasi Premi 1 (Personal)'!$E$38="Menurun",'Spek Produk'!AA97,'Spek Produk'!AA155)</f>
        <v>86.57</v>
      </c>
      <c r="AB39" s="26">
        <f>IF('Simulasi Premi 1 (Personal)'!$E$38="Menurun",'Spek Produk'!AB97,'Spek Produk'!AB155)</f>
        <v>90.23</v>
      </c>
      <c r="AC39" s="26">
        <f>IF('Simulasi Premi 1 (Personal)'!$E$38="Menurun",'Spek Produk'!AC97,'Spek Produk'!AC155)</f>
        <v>93.89</v>
      </c>
      <c r="AD39" s="26">
        <f>IF('Simulasi Premi 1 (Personal)'!$E$38="Menurun",'Spek Produk'!AD97,'Spek Produk'!AD155)</f>
        <v>97.55</v>
      </c>
      <c r="AE39" s="26">
        <f>IF('Simulasi Premi 1 (Personal)'!$E$38="Menurun",'Spek Produk'!AE97,'Spek Produk'!AE155)</f>
        <v>101.21</v>
      </c>
      <c r="AF39" s="26">
        <f>IF('Simulasi Premi 1 (Personal)'!$E$38="Menurun",'Spek Produk'!AF97,'Spek Produk'!AF155)</f>
        <v>104.89</v>
      </c>
      <c r="AG39" s="26">
        <f>IF('Simulasi Premi 1 (Personal)'!$E$38="Menurun",'Spek Produk'!AG97,'Spek Produk'!AG155)</f>
        <v>0</v>
      </c>
      <c r="AH39" s="26">
        <f>IF('Simulasi Premi 1 (Personal)'!$E$38="Menurun",'Spek Produk'!AH97,'Spek Produk'!AH155)</f>
        <v>0</v>
      </c>
      <c r="AI39" s="26">
        <f>IF('Simulasi Premi 1 (Personal)'!$E$38="Menurun",'Spek Produk'!AI97,'Spek Produk'!AI155)</f>
        <v>0</v>
      </c>
      <c r="AJ39" s="26">
        <f>IF('Simulasi Premi 1 (Personal)'!$E$38="Menurun",'Spek Produk'!AJ97,'Spek Produk'!AJ155)</f>
        <v>0</v>
      </c>
      <c r="AK39" s="26">
        <f>IF('Simulasi Premi 1 (Personal)'!$E$38="Menurun",'Spek Produk'!AK97,'Spek Produk'!AK155)</f>
        <v>0</v>
      </c>
      <c r="AL39" s="26">
        <f>IF('Simulasi Premi 1 (Personal)'!$E$38="Menurun",'Spek Produk'!AL97,'Spek Produk'!AL155)</f>
        <v>0</v>
      </c>
      <c r="AM39" s="26">
        <f>IF('Simulasi Premi 1 (Personal)'!$E$38="Menurun",'Spek Produk'!AM97,'Spek Produk'!AM155)</f>
        <v>0</v>
      </c>
      <c r="AN39" s="26">
        <f>IF('Simulasi Premi 1 (Personal)'!$E$38="Menurun",'Spek Produk'!AN97,'Spek Produk'!AN155)</f>
        <v>0</v>
      </c>
      <c r="AO39" s="26">
        <f>IF('Simulasi Premi 1 (Personal)'!$E$38="Menurun",'Spek Produk'!AO97,'Spek Produk'!AO155)</f>
        <v>0</v>
      </c>
      <c r="AP39" s="26">
        <f>IF('Simulasi Premi 1 (Personal)'!$E$38="Menurun",'Spek Produk'!AP97,'Spek Produk'!AP155)</f>
        <v>0</v>
      </c>
      <c r="AR39" t="s">
        <v>94</v>
      </c>
      <c r="AS39" t="b">
        <v>1</v>
      </c>
      <c r="AT39" t="str">
        <f>IF(AS39=TRUE,"Menurun","")</f>
        <v>Menurun</v>
      </c>
      <c r="AU39" t="str">
        <f>IF(AS39=TRUE,"Menurun","Tetap")</f>
        <v>Menurun</v>
      </c>
    </row>
    <row r="40" spans="2:64" x14ac:dyDescent="0.35">
      <c r="L40" s="24">
        <f t="shared" si="0"/>
        <v>52</v>
      </c>
      <c r="M40" s="26">
        <f>IF('Simulasi Premi 1 (Personal)'!$E$38="Menurun",'Spek Produk'!M98,'Spek Produk'!M156)</f>
        <v>6.85</v>
      </c>
      <c r="N40" s="26">
        <f>IF('Simulasi Premi 1 (Personal)'!$E$38="Menurun",'Spek Produk'!N98,'Spek Produk'!N156)</f>
        <v>11.62</v>
      </c>
      <c r="O40" s="26">
        <f>IF('Simulasi Premi 1 (Personal)'!$E$38="Menurun",'Spek Produk'!O98,'Spek Produk'!O156)</f>
        <v>16.77</v>
      </c>
      <c r="P40" s="26">
        <f>IF('Simulasi Premi 1 (Personal)'!$E$38="Menurun",'Spek Produk'!P98,'Spek Produk'!P156)</f>
        <v>22.28</v>
      </c>
      <c r="Q40" s="26">
        <f>IF('Simulasi Premi 1 (Personal)'!$E$38="Menurun",'Spek Produk'!Q98,'Spek Produk'!Q156)</f>
        <v>28.12</v>
      </c>
      <c r="R40" s="26">
        <f>IF('Simulasi Premi 1 (Personal)'!$E$38="Menurun",'Spek Produk'!R98,'Spek Produk'!R156)</f>
        <v>34.26</v>
      </c>
      <c r="S40" s="26">
        <f>IF('Simulasi Premi 1 (Personal)'!$E$38="Menurun",'Spek Produk'!S98,'Spek Produk'!S156)</f>
        <v>40.68</v>
      </c>
      <c r="T40" s="26">
        <f>IF('Simulasi Premi 1 (Personal)'!$E$38="Menurun",'Spek Produk'!T98,'Spek Produk'!T156)</f>
        <v>47.4</v>
      </c>
      <c r="U40" s="26">
        <f>IF('Simulasi Premi 1 (Personal)'!$E$38="Menurun",'Spek Produk'!U98,'Spek Produk'!U156)</f>
        <v>54.4</v>
      </c>
      <c r="V40" s="26">
        <f>IF('Simulasi Premi 1 (Personal)'!$E$38="Menurun",'Spek Produk'!V98,'Spek Produk'!V156)</f>
        <v>61.68</v>
      </c>
      <c r="W40" s="26">
        <f>IF('Simulasi Premi 1 (Personal)'!$E$38="Menurun",'Spek Produk'!W98,'Spek Produk'!W156)</f>
        <v>66.66</v>
      </c>
      <c r="X40" s="26">
        <f>IF('Simulasi Premi 1 (Personal)'!$E$38="Menurun",'Spek Produk'!X98,'Spek Produk'!X156)</f>
        <v>71.64</v>
      </c>
      <c r="Y40" s="26">
        <f>IF('Simulasi Premi 1 (Personal)'!$E$38="Menurun",'Spek Produk'!Y98,'Spek Produk'!Y156)</f>
        <v>76.62</v>
      </c>
      <c r="Z40" s="26">
        <f>IF('Simulasi Premi 1 (Personal)'!$E$38="Menurun",'Spek Produk'!Z98,'Spek Produk'!Z156)</f>
        <v>81.599999999999994</v>
      </c>
      <c r="AA40" s="26">
        <f>IF('Simulasi Premi 1 (Personal)'!$E$38="Menurun",'Spek Produk'!AA98,'Spek Produk'!AA156)</f>
        <v>86.57</v>
      </c>
      <c r="AB40" s="26">
        <f>IF('Simulasi Premi 1 (Personal)'!$E$38="Menurun",'Spek Produk'!AB98,'Spek Produk'!AB156)</f>
        <v>90.23</v>
      </c>
      <c r="AC40" s="26">
        <f>IF('Simulasi Premi 1 (Personal)'!$E$38="Menurun",'Spek Produk'!AC98,'Spek Produk'!AC156)</f>
        <v>93.89</v>
      </c>
      <c r="AD40" s="26">
        <f>IF('Simulasi Premi 1 (Personal)'!$E$38="Menurun",'Spek Produk'!AD98,'Spek Produk'!AD156)</f>
        <v>97.55</v>
      </c>
      <c r="AE40" s="26">
        <f>IF('Simulasi Premi 1 (Personal)'!$E$38="Menurun",'Spek Produk'!AE98,'Spek Produk'!AE156)</f>
        <v>101.21</v>
      </c>
      <c r="AF40" s="26">
        <f>IF('Simulasi Premi 1 (Personal)'!$E$38="Menurun",'Spek Produk'!AF98,'Spek Produk'!AF156)</f>
        <v>104.89</v>
      </c>
      <c r="AG40" s="26">
        <f>IF('Simulasi Premi 1 (Personal)'!$E$38="Menurun",'Spek Produk'!AG98,'Spek Produk'!AG156)</f>
        <v>0</v>
      </c>
      <c r="AH40" s="26">
        <f>IF('Simulasi Premi 1 (Personal)'!$E$38="Menurun",'Spek Produk'!AH98,'Spek Produk'!AH156)</f>
        <v>0</v>
      </c>
      <c r="AI40" s="26">
        <f>IF('Simulasi Premi 1 (Personal)'!$E$38="Menurun",'Spek Produk'!AI98,'Spek Produk'!AI156)</f>
        <v>0</v>
      </c>
      <c r="AJ40" s="26">
        <f>IF('Simulasi Premi 1 (Personal)'!$E$38="Menurun",'Spek Produk'!AJ98,'Spek Produk'!AJ156)</f>
        <v>0</v>
      </c>
      <c r="AK40" s="26">
        <f>IF('Simulasi Premi 1 (Personal)'!$E$38="Menurun",'Spek Produk'!AK98,'Spek Produk'!AK156)</f>
        <v>0</v>
      </c>
      <c r="AL40" s="26">
        <f>IF('Simulasi Premi 1 (Personal)'!$E$38="Menurun",'Spek Produk'!AL98,'Spek Produk'!AL156)</f>
        <v>0</v>
      </c>
      <c r="AM40" s="26">
        <f>IF('Simulasi Premi 1 (Personal)'!$E$38="Menurun",'Spek Produk'!AM98,'Spek Produk'!AM156)</f>
        <v>0</v>
      </c>
      <c r="AN40" s="26">
        <f>IF('Simulasi Premi 1 (Personal)'!$E$38="Menurun",'Spek Produk'!AN98,'Spek Produk'!AN156)</f>
        <v>0</v>
      </c>
      <c r="AO40" s="26">
        <f>IF('Simulasi Premi 1 (Personal)'!$E$38="Menurun",'Spek Produk'!AO98,'Spek Produk'!AO156)</f>
        <v>0</v>
      </c>
      <c r="AP40" s="26">
        <f>IF('Simulasi Premi 1 (Personal)'!$E$38="Menurun",'Spek Produk'!AP98,'Spek Produk'!AP156)</f>
        <v>0</v>
      </c>
      <c r="AR40" t="s">
        <v>95</v>
      </c>
      <c r="AS40" t="b">
        <v>0</v>
      </c>
      <c r="AT40" t="str">
        <f>IF(AS40=TRUE,"Tetap","")</f>
        <v/>
      </c>
    </row>
    <row r="41" spans="2:64" x14ac:dyDescent="0.35">
      <c r="L41" s="24">
        <f t="shared" si="0"/>
        <v>53</v>
      </c>
      <c r="M41" s="26">
        <f>IF('Simulasi Premi 1 (Personal)'!$E$38="Menurun",'Spek Produk'!M99,'Spek Produk'!M157)</f>
        <v>6.85</v>
      </c>
      <c r="N41" s="26">
        <f>IF('Simulasi Premi 1 (Personal)'!$E$38="Menurun",'Spek Produk'!N99,'Spek Produk'!N157)</f>
        <v>11.62</v>
      </c>
      <c r="O41" s="26">
        <f>IF('Simulasi Premi 1 (Personal)'!$E$38="Menurun",'Spek Produk'!O99,'Spek Produk'!O157)</f>
        <v>16.77</v>
      </c>
      <c r="P41" s="26">
        <f>IF('Simulasi Premi 1 (Personal)'!$E$38="Menurun",'Spek Produk'!P99,'Spek Produk'!P157)</f>
        <v>22.28</v>
      </c>
      <c r="Q41" s="26">
        <f>IF('Simulasi Premi 1 (Personal)'!$E$38="Menurun",'Spek Produk'!Q99,'Spek Produk'!Q157)</f>
        <v>28.12</v>
      </c>
      <c r="R41" s="26">
        <f>IF('Simulasi Premi 1 (Personal)'!$E$38="Menurun",'Spek Produk'!R99,'Spek Produk'!R157)</f>
        <v>34.26</v>
      </c>
      <c r="S41" s="26">
        <f>IF('Simulasi Premi 1 (Personal)'!$E$38="Menurun",'Spek Produk'!S99,'Spek Produk'!S157)</f>
        <v>40.68</v>
      </c>
      <c r="T41" s="26">
        <f>IF('Simulasi Premi 1 (Personal)'!$E$38="Menurun",'Spek Produk'!T99,'Spek Produk'!T157)</f>
        <v>47.4</v>
      </c>
      <c r="U41" s="26">
        <f>IF('Simulasi Premi 1 (Personal)'!$E$38="Menurun",'Spek Produk'!U99,'Spek Produk'!U157)</f>
        <v>54.4</v>
      </c>
      <c r="V41" s="26">
        <f>IF('Simulasi Premi 1 (Personal)'!$E$38="Menurun",'Spek Produk'!V99,'Spek Produk'!V157)</f>
        <v>61.68</v>
      </c>
      <c r="W41" s="26">
        <f>IF('Simulasi Premi 1 (Personal)'!$E$38="Menurun",'Spek Produk'!W99,'Spek Produk'!W157)</f>
        <v>66.66</v>
      </c>
      <c r="X41" s="26">
        <f>IF('Simulasi Premi 1 (Personal)'!$E$38="Menurun",'Spek Produk'!X99,'Spek Produk'!X157)</f>
        <v>71.64</v>
      </c>
      <c r="Y41" s="26">
        <f>IF('Simulasi Premi 1 (Personal)'!$E$38="Menurun",'Spek Produk'!Y99,'Spek Produk'!Y157)</f>
        <v>76.62</v>
      </c>
      <c r="Z41" s="26">
        <f>IF('Simulasi Premi 1 (Personal)'!$E$38="Menurun",'Spek Produk'!Z99,'Spek Produk'!Z157)</f>
        <v>81.599999999999994</v>
      </c>
      <c r="AA41" s="26">
        <f>IF('Simulasi Premi 1 (Personal)'!$E$38="Menurun",'Spek Produk'!AA99,'Spek Produk'!AA157)</f>
        <v>86.57</v>
      </c>
      <c r="AB41" s="26">
        <f>IF('Simulasi Premi 1 (Personal)'!$E$38="Menurun",'Spek Produk'!AB99,'Spek Produk'!AB157)</f>
        <v>90.23</v>
      </c>
      <c r="AC41" s="26">
        <f>IF('Simulasi Premi 1 (Personal)'!$E$38="Menurun",'Spek Produk'!AC99,'Spek Produk'!AC157)</f>
        <v>93.89</v>
      </c>
      <c r="AD41" s="26">
        <f>IF('Simulasi Premi 1 (Personal)'!$E$38="Menurun",'Spek Produk'!AD99,'Spek Produk'!AD157)</f>
        <v>97.55</v>
      </c>
      <c r="AE41" s="26">
        <f>IF('Simulasi Premi 1 (Personal)'!$E$38="Menurun",'Spek Produk'!AE99,'Spek Produk'!AE157)</f>
        <v>101.21</v>
      </c>
      <c r="AF41" s="26">
        <f>IF('Simulasi Premi 1 (Personal)'!$E$38="Menurun",'Spek Produk'!AF99,'Spek Produk'!AF157)</f>
        <v>104.89</v>
      </c>
      <c r="AG41" s="26">
        <f>IF('Simulasi Premi 1 (Personal)'!$E$38="Menurun",'Spek Produk'!AG99,'Spek Produk'!AG157)</f>
        <v>0</v>
      </c>
      <c r="AH41" s="26">
        <f>IF('Simulasi Premi 1 (Personal)'!$E$38="Menurun",'Spek Produk'!AH99,'Spek Produk'!AH157)</f>
        <v>0</v>
      </c>
      <c r="AI41" s="26">
        <f>IF('Simulasi Premi 1 (Personal)'!$E$38="Menurun",'Spek Produk'!AI99,'Spek Produk'!AI157)</f>
        <v>0</v>
      </c>
      <c r="AJ41" s="26">
        <f>IF('Simulasi Premi 1 (Personal)'!$E$38="Menurun",'Spek Produk'!AJ99,'Spek Produk'!AJ157)</f>
        <v>0</v>
      </c>
      <c r="AK41" s="26">
        <f>IF('Simulasi Premi 1 (Personal)'!$E$38="Menurun",'Spek Produk'!AK99,'Spek Produk'!AK157)</f>
        <v>0</v>
      </c>
      <c r="AL41" s="26">
        <f>IF('Simulasi Premi 1 (Personal)'!$E$38="Menurun",'Spek Produk'!AL99,'Spek Produk'!AL157)</f>
        <v>0</v>
      </c>
      <c r="AM41" s="26">
        <f>IF('Simulasi Premi 1 (Personal)'!$E$38="Menurun",'Spek Produk'!AM99,'Spek Produk'!AM157)</f>
        <v>0</v>
      </c>
      <c r="AN41" s="26">
        <f>IF('Simulasi Premi 1 (Personal)'!$E$38="Menurun",'Spek Produk'!AN99,'Spek Produk'!AN157)</f>
        <v>0</v>
      </c>
      <c r="AO41" s="26">
        <f>IF('Simulasi Premi 1 (Personal)'!$E$38="Menurun",'Spek Produk'!AO99,'Spek Produk'!AO157)</f>
        <v>0</v>
      </c>
      <c r="AP41" s="26">
        <f>IF('Simulasi Premi 1 (Personal)'!$E$38="Menurun",'Spek Produk'!AP99,'Spek Produk'!AP157)</f>
        <v>0</v>
      </c>
    </row>
    <row r="42" spans="2:64" x14ac:dyDescent="0.35">
      <c r="L42" s="24">
        <f t="shared" si="0"/>
        <v>54</v>
      </c>
      <c r="M42" s="26">
        <f>IF('Simulasi Premi 1 (Personal)'!$E$38="Menurun",'Spek Produk'!M100,'Spek Produk'!M158)</f>
        <v>6.85</v>
      </c>
      <c r="N42" s="26">
        <f>IF('Simulasi Premi 1 (Personal)'!$E$38="Menurun",'Spek Produk'!N100,'Spek Produk'!N158)</f>
        <v>11.62</v>
      </c>
      <c r="O42" s="26">
        <f>IF('Simulasi Premi 1 (Personal)'!$E$38="Menurun",'Spek Produk'!O100,'Spek Produk'!O158)</f>
        <v>16.77</v>
      </c>
      <c r="P42" s="26">
        <f>IF('Simulasi Premi 1 (Personal)'!$E$38="Menurun",'Spek Produk'!P100,'Spek Produk'!P158)</f>
        <v>22.28</v>
      </c>
      <c r="Q42" s="26">
        <f>IF('Simulasi Premi 1 (Personal)'!$E$38="Menurun",'Spek Produk'!Q100,'Spek Produk'!Q158)</f>
        <v>28.12</v>
      </c>
      <c r="R42" s="26">
        <f>IF('Simulasi Premi 1 (Personal)'!$E$38="Menurun",'Spek Produk'!R100,'Spek Produk'!R158)</f>
        <v>34.26</v>
      </c>
      <c r="S42" s="26">
        <f>IF('Simulasi Premi 1 (Personal)'!$E$38="Menurun",'Spek Produk'!S100,'Spek Produk'!S158)</f>
        <v>40.68</v>
      </c>
      <c r="T42" s="26">
        <f>IF('Simulasi Premi 1 (Personal)'!$E$38="Menurun",'Spek Produk'!T100,'Spek Produk'!T158)</f>
        <v>47.4</v>
      </c>
      <c r="U42" s="26">
        <f>IF('Simulasi Premi 1 (Personal)'!$E$38="Menurun",'Spek Produk'!U100,'Spek Produk'!U158)</f>
        <v>54.4</v>
      </c>
      <c r="V42" s="26">
        <f>IF('Simulasi Premi 1 (Personal)'!$E$38="Menurun",'Spek Produk'!V100,'Spek Produk'!V158)</f>
        <v>61.68</v>
      </c>
      <c r="W42" s="26">
        <f>IF('Simulasi Premi 1 (Personal)'!$E$38="Menurun",'Spek Produk'!W100,'Spek Produk'!W158)</f>
        <v>66.66</v>
      </c>
      <c r="X42" s="26">
        <f>IF('Simulasi Premi 1 (Personal)'!$E$38="Menurun",'Spek Produk'!X100,'Spek Produk'!X158)</f>
        <v>71.64</v>
      </c>
      <c r="Y42" s="26">
        <f>IF('Simulasi Premi 1 (Personal)'!$E$38="Menurun",'Spek Produk'!Y100,'Spek Produk'!Y158)</f>
        <v>76.62</v>
      </c>
      <c r="Z42" s="26">
        <f>IF('Simulasi Premi 1 (Personal)'!$E$38="Menurun",'Spek Produk'!Z100,'Spek Produk'!Z158)</f>
        <v>81.599999999999994</v>
      </c>
      <c r="AA42" s="26">
        <f>IF('Simulasi Premi 1 (Personal)'!$E$38="Menurun",'Spek Produk'!AA100,'Spek Produk'!AA158)</f>
        <v>86.57</v>
      </c>
      <c r="AB42" s="26">
        <f>IF('Simulasi Premi 1 (Personal)'!$E$38="Menurun",'Spek Produk'!AB100,'Spek Produk'!AB158)</f>
        <v>90.23</v>
      </c>
      <c r="AC42" s="26">
        <f>IF('Simulasi Premi 1 (Personal)'!$E$38="Menurun",'Spek Produk'!AC100,'Spek Produk'!AC158)</f>
        <v>93.89</v>
      </c>
      <c r="AD42" s="26">
        <f>IF('Simulasi Premi 1 (Personal)'!$E$38="Menurun",'Spek Produk'!AD100,'Spek Produk'!AD158)</f>
        <v>97.55</v>
      </c>
      <c r="AE42" s="26">
        <f>IF('Simulasi Premi 1 (Personal)'!$E$38="Menurun",'Spek Produk'!AE100,'Spek Produk'!AE158)</f>
        <v>101.21</v>
      </c>
      <c r="AF42" s="26">
        <f>IF('Simulasi Premi 1 (Personal)'!$E$38="Menurun",'Spek Produk'!AF100,'Spek Produk'!AF158)</f>
        <v>104.89</v>
      </c>
      <c r="AG42" s="26">
        <f>IF('Simulasi Premi 1 (Personal)'!$E$38="Menurun",'Spek Produk'!AG100,'Spek Produk'!AG158)</f>
        <v>0</v>
      </c>
      <c r="AH42" s="26">
        <f>IF('Simulasi Premi 1 (Personal)'!$E$38="Menurun",'Spek Produk'!AH100,'Spek Produk'!AH158)</f>
        <v>0</v>
      </c>
      <c r="AI42" s="26">
        <f>IF('Simulasi Premi 1 (Personal)'!$E$38="Menurun",'Spek Produk'!AI100,'Spek Produk'!AI158)</f>
        <v>0</v>
      </c>
      <c r="AJ42" s="26">
        <f>IF('Simulasi Premi 1 (Personal)'!$E$38="Menurun",'Spek Produk'!AJ100,'Spek Produk'!AJ158)</f>
        <v>0</v>
      </c>
      <c r="AK42" s="26">
        <f>IF('Simulasi Premi 1 (Personal)'!$E$38="Menurun",'Spek Produk'!AK100,'Spek Produk'!AK158)</f>
        <v>0</v>
      </c>
      <c r="AL42" s="26">
        <f>IF('Simulasi Premi 1 (Personal)'!$E$38="Menurun",'Spek Produk'!AL100,'Spek Produk'!AL158)</f>
        <v>0</v>
      </c>
      <c r="AM42" s="26">
        <f>IF('Simulasi Premi 1 (Personal)'!$E$38="Menurun",'Spek Produk'!AM100,'Spek Produk'!AM158)</f>
        <v>0</v>
      </c>
      <c r="AN42" s="26">
        <f>IF('Simulasi Premi 1 (Personal)'!$E$38="Menurun",'Spek Produk'!AN100,'Spek Produk'!AN158)</f>
        <v>0</v>
      </c>
      <c r="AO42" s="26">
        <f>IF('Simulasi Premi 1 (Personal)'!$E$38="Menurun",'Spek Produk'!AO100,'Spek Produk'!AO158)</f>
        <v>0</v>
      </c>
      <c r="AP42" s="26">
        <f>IF('Simulasi Premi 1 (Personal)'!$E$38="Menurun",'Spek Produk'!AP100,'Spek Produk'!AP158)</f>
        <v>0</v>
      </c>
      <c r="AR42" cm="1">
        <f t="array" ref="AR42:BL42">_xlfn.SEQUENCE(,I22-G22+1,G22,1)</f>
        <v>0</v>
      </c>
      <c r="AS42">
        <v>1</v>
      </c>
      <c r="AT42">
        <v>2</v>
      </c>
      <c r="AU42">
        <v>3</v>
      </c>
      <c r="AV42">
        <v>4</v>
      </c>
      <c r="AW42">
        <v>5</v>
      </c>
      <c r="AX42">
        <v>6</v>
      </c>
      <c r="AY42">
        <v>7</v>
      </c>
      <c r="AZ42">
        <v>8</v>
      </c>
      <c r="BA42">
        <v>9</v>
      </c>
      <c r="BB42">
        <v>10</v>
      </c>
      <c r="BC42">
        <v>11</v>
      </c>
      <c r="BD42">
        <v>12</v>
      </c>
      <c r="BE42">
        <v>13</v>
      </c>
      <c r="BF42">
        <v>14</v>
      </c>
      <c r="BG42">
        <v>15</v>
      </c>
      <c r="BH42">
        <v>16</v>
      </c>
      <c r="BI42">
        <v>17</v>
      </c>
      <c r="BJ42">
        <v>18</v>
      </c>
      <c r="BK42">
        <v>19</v>
      </c>
      <c r="BL42">
        <v>20</v>
      </c>
    </row>
    <row r="43" spans="2:64" x14ac:dyDescent="0.35">
      <c r="L43" s="24">
        <f t="shared" si="0"/>
        <v>55</v>
      </c>
      <c r="M43" s="26">
        <f>IF('Simulasi Premi 1 (Personal)'!$E$38="Menurun",'Spek Produk'!M101,'Spek Produk'!M159)</f>
        <v>6.85</v>
      </c>
      <c r="N43" s="26">
        <f>IF('Simulasi Premi 1 (Personal)'!$E$38="Menurun",'Spek Produk'!N101,'Spek Produk'!N159)</f>
        <v>11.62</v>
      </c>
      <c r="O43" s="26">
        <f>IF('Simulasi Premi 1 (Personal)'!$E$38="Menurun",'Spek Produk'!O101,'Spek Produk'!O159)</f>
        <v>16.77</v>
      </c>
      <c r="P43" s="26">
        <f>IF('Simulasi Premi 1 (Personal)'!$E$38="Menurun",'Spek Produk'!P101,'Spek Produk'!P159)</f>
        <v>22.28</v>
      </c>
      <c r="Q43" s="26">
        <f>IF('Simulasi Premi 1 (Personal)'!$E$38="Menurun",'Spek Produk'!Q101,'Spek Produk'!Q159)</f>
        <v>28.12</v>
      </c>
      <c r="R43" s="26">
        <f>IF('Simulasi Premi 1 (Personal)'!$E$38="Menurun",'Spek Produk'!R101,'Spek Produk'!R159)</f>
        <v>34.26</v>
      </c>
      <c r="S43" s="26">
        <f>IF('Simulasi Premi 1 (Personal)'!$E$38="Menurun",'Spek Produk'!S101,'Spek Produk'!S159)</f>
        <v>40.68</v>
      </c>
      <c r="T43" s="26">
        <f>IF('Simulasi Premi 1 (Personal)'!$E$38="Menurun",'Spek Produk'!T101,'Spek Produk'!T159)</f>
        <v>47.4</v>
      </c>
      <c r="U43" s="26">
        <f>IF('Simulasi Premi 1 (Personal)'!$E$38="Menurun",'Spek Produk'!U101,'Spek Produk'!U159)</f>
        <v>54.4</v>
      </c>
      <c r="V43" s="26">
        <f>IF('Simulasi Premi 1 (Personal)'!$E$38="Menurun",'Spek Produk'!V101,'Spek Produk'!V159)</f>
        <v>61.68</v>
      </c>
      <c r="W43" s="26">
        <f>IF('Simulasi Premi 1 (Personal)'!$E$38="Menurun",'Spek Produk'!W101,'Spek Produk'!W159)</f>
        <v>66.66</v>
      </c>
      <c r="X43" s="26">
        <f>IF('Simulasi Premi 1 (Personal)'!$E$38="Menurun",'Spek Produk'!X101,'Spek Produk'!X159)</f>
        <v>71.64</v>
      </c>
      <c r="Y43" s="26">
        <f>IF('Simulasi Premi 1 (Personal)'!$E$38="Menurun",'Spek Produk'!Y101,'Spek Produk'!Y159)</f>
        <v>76.62</v>
      </c>
      <c r="Z43" s="26">
        <f>IF('Simulasi Premi 1 (Personal)'!$E$38="Menurun",'Spek Produk'!Z101,'Spek Produk'!Z159)</f>
        <v>81.599999999999994</v>
      </c>
      <c r="AA43" s="26">
        <f>IF('Simulasi Premi 1 (Personal)'!$E$38="Menurun",'Spek Produk'!AA101,'Spek Produk'!AA159)</f>
        <v>86.57</v>
      </c>
      <c r="AB43" s="26">
        <f>IF('Simulasi Premi 1 (Personal)'!$E$38="Menurun",'Spek Produk'!AB101,'Spek Produk'!AB159)</f>
        <v>90.23</v>
      </c>
      <c r="AC43" s="26">
        <f>IF('Simulasi Premi 1 (Personal)'!$E$38="Menurun",'Spek Produk'!AC101,'Spek Produk'!AC159)</f>
        <v>93.89</v>
      </c>
      <c r="AD43" s="26">
        <f>IF('Simulasi Premi 1 (Personal)'!$E$38="Menurun",'Spek Produk'!AD101,'Spek Produk'!AD159)</f>
        <v>97.55</v>
      </c>
      <c r="AE43" s="26">
        <f>IF('Simulasi Premi 1 (Personal)'!$E$38="Menurun",'Spek Produk'!AE101,'Spek Produk'!AE159)</f>
        <v>101.21</v>
      </c>
      <c r="AF43" s="26">
        <f>IF('Simulasi Premi 1 (Personal)'!$E$38="Menurun",'Spek Produk'!AF101,'Spek Produk'!AF159)</f>
        <v>104.89</v>
      </c>
      <c r="AG43" s="26">
        <f>IF('Simulasi Premi 1 (Personal)'!$E$38="Menurun",'Spek Produk'!AG101,'Spek Produk'!AG159)</f>
        <v>0</v>
      </c>
      <c r="AH43" s="26">
        <f>IF('Simulasi Premi 1 (Personal)'!$E$38="Menurun",'Spek Produk'!AH101,'Spek Produk'!AH159)</f>
        <v>0</v>
      </c>
      <c r="AI43" s="26">
        <f>IF('Simulasi Premi 1 (Personal)'!$E$38="Menurun",'Spek Produk'!AI101,'Spek Produk'!AI159)</f>
        <v>0</v>
      </c>
      <c r="AJ43" s="26">
        <f>IF('Simulasi Premi 1 (Personal)'!$E$38="Menurun",'Spek Produk'!AJ101,'Spek Produk'!AJ159)</f>
        <v>0</v>
      </c>
      <c r="AK43" s="26">
        <f>IF('Simulasi Premi 1 (Personal)'!$E$38="Menurun",'Spek Produk'!AK101,'Spek Produk'!AK159)</f>
        <v>0</v>
      </c>
      <c r="AL43" s="26">
        <f>IF('Simulasi Premi 1 (Personal)'!$E$38="Menurun",'Spek Produk'!AL101,'Spek Produk'!AL159)</f>
        <v>0</v>
      </c>
      <c r="AM43" s="26">
        <f>IF('Simulasi Premi 1 (Personal)'!$E$38="Menurun",'Spek Produk'!AM101,'Spek Produk'!AM159)</f>
        <v>0</v>
      </c>
      <c r="AN43" s="26">
        <f>IF('Simulasi Premi 1 (Personal)'!$E$38="Menurun",'Spek Produk'!AN101,'Spek Produk'!AN159)</f>
        <v>0</v>
      </c>
      <c r="AO43" s="26">
        <f>IF('Simulasi Premi 1 (Personal)'!$E$38="Menurun",'Spek Produk'!AO101,'Spek Produk'!AO159)</f>
        <v>0</v>
      </c>
      <c r="AP43" s="26">
        <f>IF('Simulasi Premi 1 (Personal)'!$E$38="Menurun",'Spek Produk'!AP101,'Spek Produk'!AP159)</f>
        <v>0</v>
      </c>
      <c r="AR43" cm="1">
        <f t="array" ref="AR43:BL43">_xlfn.SEQUENCE(,I34-G34+1,G34,1)</f>
        <v>0</v>
      </c>
      <c r="AS43">
        <v>1</v>
      </c>
      <c r="AT43">
        <v>2</v>
      </c>
      <c r="AU43">
        <v>3</v>
      </c>
      <c r="AV43">
        <v>4</v>
      </c>
      <c r="AW43">
        <v>5</v>
      </c>
      <c r="AX43">
        <v>6</v>
      </c>
      <c r="AY43">
        <v>7</v>
      </c>
      <c r="AZ43">
        <v>8</v>
      </c>
      <c r="BA43">
        <v>9</v>
      </c>
      <c r="BB43">
        <v>10</v>
      </c>
      <c r="BC43">
        <v>11</v>
      </c>
      <c r="BD43">
        <v>12</v>
      </c>
      <c r="BE43">
        <v>13</v>
      </c>
      <c r="BF43">
        <v>14</v>
      </c>
      <c r="BG43">
        <v>15</v>
      </c>
      <c r="BH43">
        <v>16</v>
      </c>
      <c r="BI43">
        <v>17</v>
      </c>
      <c r="BJ43">
        <v>18</v>
      </c>
      <c r="BK43">
        <v>19</v>
      </c>
      <c r="BL43">
        <v>20</v>
      </c>
    </row>
    <row r="44" spans="2:64" x14ac:dyDescent="0.35">
      <c r="L44" s="24">
        <f t="shared" si="0"/>
        <v>56</v>
      </c>
      <c r="M44" s="26">
        <f>IF('Simulasi Premi 1 (Personal)'!$E$38="Menurun",'Spek Produk'!M102,'Spek Produk'!M160)</f>
        <v>6.85</v>
      </c>
      <c r="N44" s="26">
        <f>IF('Simulasi Premi 1 (Personal)'!$E$38="Menurun",'Spek Produk'!N102,'Spek Produk'!N160)</f>
        <v>11.62</v>
      </c>
      <c r="O44" s="26">
        <f>IF('Simulasi Premi 1 (Personal)'!$E$38="Menurun",'Spek Produk'!O102,'Spek Produk'!O160)</f>
        <v>16.77</v>
      </c>
      <c r="P44" s="26">
        <f>IF('Simulasi Premi 1 (Personal)'!$E$38="Menurun",'Spek Produk'!P102,'Spek Produk'!P160)</f>
        <v>22.28</v>
      </c>
      <c r="Q44" s="26">
        <f>IF('Simulasi Premi 1 (Personal)'!$E$38="Menurun",'Spek Produk'!Q102,'Spek Produk'!Q160)</f>
        <v>28.12</v>
      </c>
      <c r="R44" s="26">
        <f>IF('Simulasi Premi 1 (Personal)'!$E$38="Menurun",'Spek Produk'!R102,'Spek Produk'!R160)</f>
        <v>34.26</v>
      </c>
      <c r="S44" s="26">
        <f>IF('Simulasi Premi 1 (Personal)'!$E$38="Menurun",'Spek Produk'!S102,'Spek Produk'!S160)</f>
        <v>40.68</v>
      </c>
      <c r="T44" s="26">
        <f>IF('Simulasi Premi 1 (Personal)'!$E$38="Menurun",'Spek Produk'!T102,'Spek Produk'!T160)</f>
        <v>47.4</v>
      </c>
      <c r="U44" s="26">
        <f>IF('Simulasi Premi 1 (Personal)'!$E$38="Menurun",'Spek Produk'!U102,'Spek Produk'!U160)</f>
        <v>54.4</v>
      </c>
      <c r="V44" s="26">
        <f>IF('Simulasi Premi 1 (Personal)'!$E$38="Menurun",'Spek Produk'!V102,'Spek Produk'!V160)</f>
        <v>61.68</v>
      </c>
      <c r="W44" s="26">
        <f>IF('Simulasi Premi 1 (Personal)'!$E$38="Menurun",'Spek Produk'!W102,'Spek Produk'!W160)</f>
        <v>66.66</v>
      </c>
      <c r="X44" s="26">
        <f>IF('Simulasi Premi 1 (Personal)'!$E$38="Menurun",'Spek Produk'!X102,'Spek Produk'!X160)</f>
        <v>71.64</v>
      </c>
      <c r="Y44" s="26">
        <f>IF('Simulasi Premi 1 (Personal)'!$E$38="Menurun",'Spek Produk'!Y102,'Spek Produk'!Y160)</f>
        <v>76.62</v>
      </c>
      <c r="Z44" s="26">
        <f>IF('Simulasi Premi 1 (Personal)'!$E$38="Menurun",'Spek Produk'!Z102,'Spek Produk'!Z160)</f>
        <v>81.599999999999994</v>
      </c>
      <c r="AA44" s="26">
        <f>IF('Simulasi Premi 1 (Personal)'!$E$38="Menurun",'Spek Produk'!AA102,'Spek Produk'!AA160)</f>
        <v>86.57</v>
      </c>
      <c r="AB44" s="26">
        <f>IF('Simulasi Premi 1 (Personal)'!$E$38="Menurun",'Spek Produk'!AB102,'Spek Produk'!AB160)</f>
        <v>90.23</v>
      </c>
      <c r="AC44" s="26">
        <f>IF('Simulasi Premi 1 (Personal)'!$E$38="Menurun",'Spek Produk'!AC102,'Spek Produk'!AC160)</f>
        <v>93.89</v>
      </c>
      <c r="AD44" s="26">
        <f>IF('Simulasi Premi 1 (Personal)'!$E$38="Menurun",'Spek Produk'!AD102,'Spek Produk'!AD160)</f>
        <v>97.55</v>
      </c>
      <c r="AE44" s="26">
        <f>IF('Simulasi Premi 1 (Personal)'!$E$38="Menurun",'Spek Produk'!AE102,'Spek Produk'!AE160)</f>
        <v>101.21</v>
      </c>
      <c r="AF44" s="26">
        <f>IF('Simulasi Premi 1 (Personal)'!$E$38="Menurun",'Spek Produk'!AF102,'Spek Produk'!AF160)</f>
        <v>104.89</v>
      </c>
      <c r="AG44" s="26">
        <f>IF('Simulasi Premi 1 (Personal)'!$E$38="Menurun",'Spek Produk'!AG102,'Spek Produk'!AG160)</f>
        <v>0</v>
      </c>
      <c r="AH44" s="26">
        <f>IF('Simulasi Premi 1 (Personal)'!$E$38="Menurun",'Spek Produk'!AH102,'Spek Produk'!AH160)</f>
        <v>0</v>
      </c>
      <c r="AI44" s="26">
        <f>IF('Simulasi Premi 1 (Personal)'!$E$38="Menurun",'Spek Produk'!AI102,'Spek Produk'!AI160)</f>
        <v>0</v>
      </c>
      <c r="AJ44" s="26">
        <f>IF('Simulasi Premi 1 (Personal)'!$E$38="Menurun",'Spek Produk'!AJ102,'Spek Produk'!AJ160)</f>
        <v>0</v>
      </c>
      <c r="AK44" s="26">
        <f>IF('Simulasi Premi 1 (Personal)'!$E$38="Menurun",'Spek Produk'!AK102,'Spek Produk'!AK160)</f>
        <v>0</v>
      </c>
      <c r="AL44" s="26">
        <f>IF('Simulasi Premi 1 (Personal)'!$E$38="Menurun",'Spek Produk'!AL102,'Spek Produk'!AL160)</f>
        <v>0</v>
      </c>
      <c r="AM44" s="26">
        <f>IF('Simulasi Premi 1 (Personal)'!$E$38="Menurun",'Spek Produk'!AM102,'Spek Produk'!AM160)</f>
        <v>0</v>
      </c>
      <c r="AN44" s="26">
        <f>IF('Simulasi Premi 1 (Personal)'!$E$38="Menurun",'Spek Produk'!AN102,'Spek Produk'!AN160)</f>
        <v>0</v>
      </c>
      <c r="AO44" s="26">
        <f>IF('Simulasi Premi 1 (Personal)'!$E$38="Menurun",'Spek Produk'!AO102,'Spek Produk'!AO160)</f>
        <v>0</v>
      </c>
      <c r="AP44" s="26">
        <f>IF('Simulasi Premi 1 (Personal)'!$E$38="Menurun",'Spek Produk'!AP102,'Spek Produk'!AP160)</f>
        <v>0</v>
      </c>
    </row>
    <row r="45" spans="2:64" x14ac:dyDescent="0.35">
      <c r="L45" s="24">
        <f t="shared" si="0"/>
        <v>57</v>
      </c>
      <c r="M45" s="26">
        <f>IF('Simulasi Premi 1 (Personal)'!$E$38="Menurun",'Spek Produk'!M103,'Spek Produk'!M161)</f>
        <v>6.85</v>
      </c>
      <c r="N45" s="26">
        <f>IF('Simulasi Premi 1 (Personal)'!$E$38="Menurun",'Spek Produk'!N103,'Spek Produk'!N161)</f>
        <v>11.62</v>
      </c>
      <c r="O45" s="26">
        <f>IF('Simulasi Premi 1 (Personal)'!$E$38="Menurun",'Spek Produk'!O103,'Spek Produk'!O161)</f>
        <v>16.77</v>
      </c>
      <c r="P45" s="26">
        <f>IF('Simulasi Premi 1 (Personal)'!$E$38="Menurun",'Spek Produk'!P103,'Spek Produk'!P161)</f>
        <v>22.28</v>
      </c>
      <c r="Q45" s="26">
        <f>IF('Simulasi Premi 1 (Personal)'!$E$38="Menurun",'Spek Produk'!Q103,'Spek Produk'!Q161)</f>
        <v>28.12</v>
      </c>
      <c r="R45" s="26">
        <f>IF('Simulasi Premi 1 (Personal)'!$E$38="Menurun",'Spek Produk'!R103,'Spek Produk'!R161)</f>
        <v>34.26</v>
      </c>
      <c r="S45" s="26">
        <f>IF('Simulasi Premi 1 (Personal)'!$E$38="Menurun",'Spek Produk'!S103,'Spek Produk'!S161)</f>
        <v>40.68</v>
      </c>
      <c r="T45" s="26">
        <f>IF('Simulasi Premi 1 (Personal)'!$E$38="Menurun",'Spek Produk'!T103,'Spek Produk'!T161)</f>
        <v>47.4</v>
      </c>
      <c r="U45" s="26">
        <f>IF('Simulasi Premi 1 (Personal)'!$E$38="Menurun",'Spek Produk'!U103,'Spek Produk'!U161)</f>
        <v>54.4</v>
      </c>
      <c r="V45" s="26">
        <f>IF('Simulasi Premi 1 (Personal)'!$E$38="Menurun",'Spek Produk'!V103,'Spek Produk'!V161)</f>
        <v>61.68</v>
      </c>
      <c r="W45" s="26">
        <f>IF('Simulasi Premi 1 (Personal)'!$E$38="Menurun",'Spek Produk'!W103,'Spek Produk'!W161)</f>
        <v>66.66</v>
      </c>
      <c r="X45" s="26">
        <f>IF('Simulasi Premi 1 (Personal)'!$E$38="Menurun",'Spek Produk'!X103,'Spek Produk'!X161)</f>
        <v>71.64</v>
      </c>
      <c r="Y45" s="26">
        <f>IF('Simulasi Premi 1 (Personal)'!$E$38="Menurun",'Spek Produk'!Y103,'Spek Produk'!Y161)</f>
        <v>76.62</v>
      </c>
      <c r="Z45" s="26">
        <f>IF('Simulasi Premi 1 (Personal)'!$E$38="Menurun",'Spek Produk'!Z103,'Spek Produk'!Z161)</f>
        <v>81.599999999999994</v>
      </c>
      <c r="AA45" s="26">
        <f>IF('Simulasi Premi 1 (Personal)'!$E$38="Menurun",'Spek Produk'!AA103,'Spek Produk'!AA161)</f>
        <v>86.57</v>
      </c>
      <c r="AB45" s="26">
        <f>IF('Simulasi Premi 1 (Personal)'!$E$38="Menurun",'Spek Produk'!AB103,'Spek Produk'!AB161)</f>
        <v>90.23</v>
      </c>
      <c r="AC45" s="26">
        <f>IF('Simulasi Premi 1 (Personal)'!$E$38="Menurun",'Spek Produk'!AC103,'Spek Produk'!AC161)</f>
        <v>93.89</v>
      </c>
      <c r="AD45" s="26">
        <f>IF('Simulasi Premi 1 (Personal)'!$E$38="Menurun",'Spek Produk'!AD103,'Spek Produk'!AD161)</f>
        <v>97.55</v>
      </c>
      <c r="AE45" s="26">
        <f>IF('Simulasi Premi 1 (Personal)'!$E$38="Menurun",'Spek Produk'!AE103,'Spek Produk'!AE161)</f>
        <v>101.21</v>
      </c>
      <c r="AF45" s="26">
        <f>IF('Simulasi Premi 1 (Personal)'!$E$38="Menurun",'Spek Produk'!AF103,'Spek Produk'!AF161)</f>
        <v>104.89</v>
      </c>
      <c r="AG45" s="26">
        <f>IF('Simulasi Premi 1 (Personal)'!$E$38="Menurun",'Spek Produk'!AG103,'Spek Produk'!AG161)</f>
        <v>0</v>
      </c>
      <c r="AH45" s="26">
        <f>IF('Simulasi Premi 1 (Personal)'!$E$38="Menurun",'Spek Produk'!AH103,'Spek Produk'!AH161)</f>
        <v>0</v>
      </c>
      <c r="AI45" s="26">
        <f>IF('Simulasi Premi 1 (Personal)'!$E$38="Menurun",'Spek Produk'!AI103,'Spek Produk'!AI161)</f>
        <v>0</v>
      </c>
      <c r="AJ45" s="26">
        <f>IF('Simulasi Premi 1 (Personal)'!$E$38="Menurun",'Spek Produk'!AJ103,'Spek Produk'!AJ161)</f>
        <v>0</v>
      </c>
      <c r="AK45" s="26">
        <f>IF('Simulasi Premi 1 (Personal)'!$E$38="Menurun",'Spek Produk'!AK103,'Spek Produk'!AK161)</f>
        <v>0</v>
      </c>
      <c r="AL45" s="26">
        <f>IF('Simulasi Premi 1 (Personal)'!$E$38="Menurun",'Spek Produk'!AL103,'Spek Produk'!AL161)</f>
        <v>0</v>
      </c>
      <c r="AM45" s="26">
        <f>IF('Simulasi Premi 1 (Personal)'!$E$38="Menurun",'Spek Produk'!AM103,'Spek Produk'!AM161)</f>
        <v>0</v>
      </c>
      <c r="AN45" s="26">
        <f>IF('Simulasi Premi 1 (Personal)'!$E$38="Menurun",'Spek Produk'!AN103,'Spek Produk'!AN161)</f>
        <v>0</v>
      </c>
      <c r="AO45" s="26">
        <f>IF('Simulasi Premi 1 (Personal)'!$E$38="Menurun",'Spek Produk'!AO103,'Spek Produk'!AO161)</f>
        <v>0</v>
      </c>
      <c r="AP45" s="26">
        <f>IF('Simulasi Premi 1 (Personal)'!$E$38="Menurun",'Spek Produk'!AP103,'Spek Produk'!AP161)</f>
        <v>0</v>
      </c>
    </row>
    <row r="46" spans="2:64" x14ac:dyDescent="0.35">
      <c r="L46" s="24">
        <f t="shared" si="0"/>
        <v>58</v>
      </c>
      <c r="M46" s="26">
        <f>IF('Simulasi Premi 1 (Personal)'!$E$38="Menurun",'Spek Produk'!M104,'Spek Produk'!M162)</f>
        <v>6.85</v>
      </c>
      <c r="N46" s="26">
        <f>IF('Simulasi Premi 1 (Personal)'!$E$38="Menurun",'Spek Produk'!N104,'Spek Produk'!N162)</f>
        <v>11.62</v>
      </c>
      <c r="O46" s="26">
        <f>IF('Simulasi Premi 1 (Personal)'!$E$38="Menurun",'Spek Produk'!O104,'Spek Produk'!O162)</f>
        <v>16.77</v>
      </c>
      <c r="P46" s="26">
        <f>IF('Simulasi Premi 1 (Personal)'!$E$38="Menurun",'Spek Produk'!P104,'Spek Produk'!P162)</f>
        <v>22.28</v>
      </c>
      <c r="Q46" s="26">
        <f>IF('Simulasi Premi 1 (Personal)'!$E$38="Menurun",'Spek Produk'!Q104,'Spek Produk'!Q162)</f>
        <v>28.12</v>
      </c>
      <c r="R46" s="26">
        <f>IF('Simulasi Premi 1 (Personal)'!$E$38="Menurun",'Spek Produk'!R104,'Spek Produk'!R162)</f>
        <v>34.26</v>
      </c>
      <c r="S46" s="26">
        <f>IF('Simulasi Premi 1 (Personal)'!$E$38="Menurun",'Spek Produk'!S104,'Spek Produk'!S162)</f>
        <v>40.68</v>
      </c>
      <c r="T46" s="26">
        <f>IF('Simulasi Premi 1 (Personal)'!$E$38="Menurun",'Spek Produk'!T104,'Spek Produk'!T162)</f>
        <v>47.4</v>
      </c>
      <c r="U46" s="26">
        <f>IF('Simulasi Premi 1 (Personal)'!$E$38="Menurun",'Spek Produk'!U104,'Spek Produk'!U162)</f>
        <v>54.4</v>
      </c>
      <c r="V46" s="26">
        <f>IF('Simulasi Premi 1 (Personal)'!$E$38="Menurun",'Spek Produk'!V104,'Spek Produk'!V162)</f>
        <v>61.68</v>
      </c>
      <c r="W46" s="26">
        <f>IF('Simulasi Premi 1 (Personal)'!$E$38="Menurun",'Spek Produk'!W104,'Spek Produk'!W162)</f>
        <v>66.66</v>
      </c>
      <c r="X46" s="26">
        <f>IF('Simulasi Premi 1 (Personal)'!$E$38="Menurun",'Spek Produk'!X104,'Spek Produk'!X162)</f>
        <v>71.64</v>
      </c>
      <c r="Y46" s="26">
        <f>IF('Simulasi Premi 1 (Personal)'!$E$38="Menurun",'Spek Produk'!Y104,'Spek Produk'!Y162)</f>
        <v>76.62</v>
      </c>
      <c r="Z46" s="26">
        <f>IF('Simulasi Premi 1 (Personal)'!$E$38="Menurun",'Spek Produk'!Z104,'Spek Produk'!Z162)</f>
        <v>81.599999999999994</v>
      </c>
      <c r="AA46" s="26">
        <f>IF('Simulasi Premi 1 (Personal)'!$E$38="Menurun",'Spek Produk'!AA104,'Spek Produk'!AA162)</f>
        <v>86.57</v>
      </c>
      <c r="AB46" s="26">
        <f>IF('Simulasi Premi 1 (Personal)'!$E$38="Menurun",'Spek Produk'!AB104,'Spek Produk'!AB162)</f>
        <v>90.23</v>
      </c>
      <c r="AC46" s="26">
        <f>IF('Simulasi Premi 1 (Personal)'!$E$38="Menurun",'Spek Produk'!AC104,'Spek Produk'!AC162)</f>
        <v>93.89</v>
      </c>
      <c r="AD46" s="26">
        <f>IF('Simulasi Premi 1 (Personal)'!$E$38="Menurun",'Spek Produk'!AD104,'Spek Produk'!AD162)</f>
        <v>97.55</v>
      </c>
      <c r="AE46" s="26">
        <f>IF('Simulasi Premi 1 (Personal)'!$E$38="Menurun",'Spek Produk'!AE104,'Spek Produk'!AE162)</f>
        <v>101.21</v>
      </c>
      <c r="AF46" s="26">
        <f>IF('Simulasi Premi 1 (Personal)'!$E$38="Menurun",'Spek Produk'!AF104,'Spek Produk'!AF162)</f>
        <v>104.89</v>
      </c>
      <c r="AG46" s="26">
        <f>IF('Simulasi Premi 1 (Personal)'!$E$38="Menurun",'Spek Produk'!AG104,'Spek Produk'!AG162)</f>
        <v>0</v>
      </c>
      <c r="AH46" s="26">
        <f>IF('Simulasi Premi 1 (Personal)'!$E$38="Menurun",'Spek Produk'!AH104,'Spek Produk'!AH162)</f>
        <v>0</v>
      </c>
      <c r="AI46" s="26">
        <f>IF('Simulasi Premi 1 (Personal)'!$E$38="Menurun",'Spek Produk'!AI104,'Spek Produk'!AI162)</f>
        <v>0</v>
      </c>
      <c r="AJ46" s="26">
        <f>IF('Simulasi Premi 1 (Personal)'!$E$38="Menurun",'Spek Produk'!AJ104,'Spek Produk'!AJ162)</f>
        <v>0</v>
      </c>
      <c r="AK46" s="26">
        <f>IF('Simulasi Premi 1 (Personal)'!$E$38="Menurun",'Spek Produk'!AK104,'Spek Produk'!AK162)</f>
        <v>0</v>
      </c>
      <c r="AL46" s="26">
        <f>IF('Simulasi Premi 1 (Personal)'!$E$38="Menurun",'Spek Produk'!AL104,'Spek Produk'!AL162)</f>
        <v>0</v>
      </c>
      <c r="AM46" s="26">
        <f>IF('Simulasi Premi 1 (Personal)'!$E$38="Menurun",'Spek Produk'!AM104,'Spek Produk'!AM162)</f>
        <v>0</v>
      </c>
      <c r="AN46" s="26">
        <f>IF('Simulasi Premi 1 (Personal)'!$E$38="Menurun",'Spek Produk'!AN104,'Spek Produk'!AN162)</f>
        <v>0</v>
      </c>
      <c r="AO46" s="26">
        <f>IF('Simulasi Premi 1 (Personal)'!$E$38="Menurun",'Spek Produk'!AO104,'Spek Produk'!AO162)</f>
        <v>0</v>
      </c>
      <c r="AP46" s="26">
        <f>IF('Simulasi Premi 1 (Personal)'!$E$38="Menurun",'Spek Produk'!AP104,'Spek Produk'!AP162)</f>
        <v>0</v>
      </c>
    </row>
    <row r="47" spans="2:64" x14ac:dyDescent="0.35">
      <c r="L47" s="24">
        <f t="shared" si="0"/>
        <v>59</v>
      </c>
      <c r="M47" s="26">
        <f>IF('Simulasi Premi 1 (Personal)'!$E$38="Menurun",'Spek Produk'!M105,'Spek Produk'!M163)</f>
        <v>6.85</v>
      </c>
      <c r="N47" s="26">
        <f>IF('Simulasi Premi 1 (Personal)'!$E$38="Menurun",'Spek Produk'!N105,'Spek Produk'!N163)</f>
        <v>11.62</v>
      </c>
      <c r="O47" s="26">
        <f>IF('Simulasi Premi 1 (Personal)'!$E$38="Menurun",'Spek Produk'!O105,'Spek Produk'!O163)</f>
        <v>16.77</v>
      </c>
      <c r="P47" s="26">
        <f>IF('Simulasi Premi 1 (Personal)'!$E$38="Menurun",'Spek Produk'!P105,'Spek Produk'!P163)</f>
        <v>22.28</v>
      </c>
      <c r="Q47" s="26">
        <f>IF('Simulasi Premi 1 (Personal)'!$E$38="Menurun",'Spek Produk'!Q105,'Spek Produk'!Q163)</f>
        <v>28.12</v>
      </c>
      <c r="R47" s="26">
        <f>IF('Simulasi Premi 1 (Personal)'!$E$38="Menurun",'Spek Produk'!R105,'Spek Produk'!R163)</f>
        <v>34.26</v>
      </c>
      <c r="S47" s="26">
        <f>IF('Simulasi Premi 1 (Personal)'!$E$38="Menurun",'Spek Produk'!S105,'Spek Produk'!S163)</f>
        <v>40.68</v>
      </c>
      <c r="T47" s="26">
        <f>IF('Simulasi Premi 1 (Personal)'!$E$38="Menurun",'Spek Produk'!T105,'Spek Produk'!T163)</f>
        <v>47.4</v>
      </c>
      <c r="U47" s="26">
        <f>IF('Simulasi Premi 1 (Personal)'!$E$38="Menurun",'Spek Produk'!U105,'Spek Produk'!U163)</f>
        <v>54.4</v>
      </c>
      <c r="V47" s="26">
        <f>IF('Simulasi Premi 1 (Personal)'!$E$38="Menurun",'Spek Produk'!V105,'Spek Produk'!V163)</f>
        <v>61.68</v>
      </c>
      <c r="W47" s="26">
        <f>IF('Simulasi Premi 1 (Personal)'!$E$38="Menurun",'Spek Produk'!W105,'Spek Produk'!W163)</f>
        <v>66.66</v>
      </c>
      <c r="X47" s="26">
        <f>IF('Simulasi Premi 1 (Personal)'!$E$38="Menurun",'Spek Produk'!X105,'Spek Produk'!X163)</f>
        <v>71.64</v>
      </c>
      <c r="Y47" s="26">
        <f>IF('Simulasi Premi 1 (Personal)'!$E$38="Menurun",'Spek Produk'!Y105,'Spek Produk'!Y163)</f>
        <v>76.62</v>
      </c>
      <c r="Z47" s="26">
        <f>IF('Simulasi Premi 1 (Personal)'!$E$38="Menurun",'Spek Produk'!Z105,'Spek Produk'!Z163)</f>
        <v>81.599999999999994</v>
      </c>
      <c r="AA47" s="26">
        <f>IF('Simulasi Premi 1 (Personal)'!$E$38="Menurun",'Spek Produk'!AA105,'Spek Produk'!AA163)</f>
        <v>86.57</v>
      </c>
      <c r="AB47" s="26">
        <f>IF('Simulasi Premi 1 (Personal)'!$E$38="Menurun",'Spek Produk'!AB105,'Spek Produk'!AB163)</f>
        <v>90.23</v>
      </c>
      <c r="AC47" s="26">
        <f>IF('Simulasi Premi 1 (Personal)'!$E$38="Menurun",'Spek Produk'!AC105,'Spek Produk'!AC163)</f>
        <v>93.89</v>
      </c>
      <c r="AD47" s="26">
        <f>IF('Simulasi Premi 1 (Personal)'!$E$38="Menurun",'Spek Produk'!AD105,'Spek Produk'!AD163)</f>
        <v>97.55</v>
      </c>
      <c r="AE47" s="26">
        <f>IF('Simulasi Premi 1 (Personal)'!$E$38="Menurun",'Spek Produk'!AE105,'Spek Produk'!AE163)</f>
        <v>101.21</v>
      </c>
      <c r="AF47" s="26">
        <f>IF('Simulasi Premi 1 (Personal)'!$E$38="Menurun",'Spek Produk'!AF105,'Spek Produk'!AF163)</f>
        <v>104.89</v>
      </c>
      <c r="AG47" s="26">
        <f>IF('Simulasi Premi 1 (Personal)'!$E$38="Menurun",'Spek Produk'!AG105,'Spek Produk'!AG163)</f>
        <v>0</v>
      </c>
      <c r="AH47" s="26">
        <f>IF('Simulasi Premi 1 (Personal)'!$E$38="Menurun",'Spek Produk'!AH105,'Spek Produk'!AH163)</f>
        <v>0</v>
      </c>
      <c r="AI47" s="26">
        <f>IF('Simulasi Premi 1 (Personal)'!$E$38="Menurun",'Spek Produk'!AI105,'Spek Produk'!AI163)</f>
        <v>0</v>
      </c>
      <c r="AJ47" s="26">
        <f>IF('Simulasi Premi 1 (Personal)'!$E$38="Menurun",'Spek Produk'!AJ105,'Spek Produk'!AJ163)</f>
        <v>0</v>
      </c>
      <c r="AK47" s="26">
        <f>IF('Simulasi Premi 1 (Personal)'!$E$38="Menurun",'Spek Produk'!AK105,'Spek Produk'!AK163)</f>
        <v>0</v>
      </c>
      <c r="AL47" s="26">
        <f>IF('Simulasi Premi 1 (Personal)'!$E$38="Menurun",'Spek Produk'!AL105,'Spek Produk'!AL163)</f>
        <v>0</v>
      </c>
      <c r="AM47" s="26">
        <f>IF('Simulasi Premi 1 (Personal)'!$E$38="Menurun",'Spek Produk'!AM105,'Spek Produk'!AM163)</f>
        <v>0</v>
      </c>
      <c r="AN47" s="26">
        <f>IF('Simulasi Premi 1 (Personal)'!$E$38="Menurun",'Spek Produk'!AN105,'Spek Produk'!AN163)</f>
        <v>0</v>
      </c>
      <c r="AO47" s="26">
        <f>IF('Simulasi Premi 1 (Personal)'!$E$38="Menurun",'Spek Produk'!AO105,'Spek Produk'!AO163)</f>
        <v>0</v>
      </c>
      <c r="AP47" s="26">
        <f>IF('Simulasi Premi 1 (Personal)'!$E$38="Menurun",'Spek Produk'!AP105,'Spek Produk'!AP163)</f>
        <v>0</v>
      </c>
    </row>
    <row r="48" spans="2:64" x14ac:dyDescent="0.35">
      <c r="L48" s="24">
        <f t="shared" si="0"/>
        <v>60</v>
      </c>
      <c r="M48" s="26">
        <f>IF('Simulasi Premi 1 (Personal)'!$E$38="Menurun",'Spek Produk'!M106,'Spek Produk'!M164)</f>
        <v>6.85</v>
      </c>
      <c r="N48" s="26">
        <f>IF('Simulasi Premi 1 (Personal)'!$E$38="Menurun",'Spek Produk'!N106,'Spek Produk'!N164)</f>
        <v>11.62</v>
      </c>
      <c r="O48" s="26">
        <f>IF('Simulasi Premi 1 (Personal)'!$E$38="Menurun",'Spek Produk'!O106,'Spek Produk'!O164)</f>
        <v>16.77</v>
      </c>
      <c r="P48" s="26">
        <f>IF('Simulasi Premi 1 (Personal)'!$E$38="Menurun",'Spek Produk'!P106,'Spek Produk'!P164)</f>
        <v>22.28</v>
      </c>
      <c r="Q48" s="26">
        <f>IF('Simulasi Premi 1 (Personal)'!$E$38="Menurun",'Spek Produk'!Q106,'Spek Produk'!Q164)</f>
        <v>28.12</v>
      </c>
      <c r="R48" s="26">
        <f>IF('Simulasi Premi 1 (Personal)'!$E$38="Menurun",'Spek Produk'!R106,'Spek Produk'!R164)</f>
        <v>34.26</v>
      </c>
      <c r="S48" s="26">
        <f>IF('Simulasi Premi 1 (Personal)'!$E$38="Menurun",'Spek Produk'!S106,'Spek Produk'!S164)</f>
        <v>40.68</v>
      </c>
      <c r="T48" s="26">
        <f>IF('Simulasi Premi 1 (Personal)'!$E$38="Menurun",'Spek Produk'!T106,'Spek Produk'!T164)</f>
        <v>47.4</v>
      </c>
      <c r="U48" s="26">
        <f>IF('Simulasi Premi 1 (Personal)'!$E$38="Menurun",'Spek Produk'!U106,'Spek Produk'!U164)</f>
        <v>54.4</v>
      </c>
      <c r="V48" s="26">
        <f>IF('Simulasi Premi 1 (Personal)'!$E$38="Menurun",'Spek Produk'!V106,'Spek Produk'!V164)</f>
        <v>61.68</v>
      </c>
      <c r="W48" s="26">
        <f>IF('Simulasi Premi 1 (Personal)'!$E$38="Menurun",'Spek Produk'!W106,'Spek Produk'!W164)</f>
        <v>66.66</v>
      </c>
      <c r="X48" s="26">
        <f>IF('Simulasi Premi 1 (Personal)'!$E$38="Menurun",'Spek Produk'!X106,'Spek Produk'!X164)</f>
        <v>71.64</v>
      </c>
      <c r="Y48" s="26">
        <f>IF('Simulasi Premi 1 (Personal)'!$E$38="Menurun",'Spek Produk'!Y106,'Spek Produk'!Y164)</f>
        <v>76.62</v>
      </c>
      <c r="Z48" s="26">
        <f>IF('Simulasi Premi 1 (Personal)'!$E$38="Menurun",'Spek Produk'!Z106,'Spek Produk'!Z164)</f>
        <v>81.599999999999994</v>
      </c>
      <c r="AA48" s="26">
        <f>IF('Simulasi Premi 1 (Personal)'!$E$38="Menurun",'Spek Produk'!AA106,'Spek Produk'!AA164)</f>
        <v>86.57</v>
      </c>
      <c r="AB48" s="26">
        <f>IF('Simulasi Premi 1 (Personal)'!$E$38="Menurun",'Spek Produk'!AB106,'Spek Produk'!AB164)</f>
        <v>90.23</v>
      </c>
      <c r="AC48" s="26">
        <f>IF('Simulasi Premi 1 (Personal)'!$E$38="Menurun",'Spek Produk'!AC106,'Spek Produk'!AC164)</f>
        <v>93.89</v>
      </c>
      <c r="AD48" s="26">
        <f>IF('Simulasi Premi 1 (Personal)'!$E$38="Menurun",'Spek Produk'!AD106,'Spek Produk'!AD164)</f>
        <v>97.55</v>
      </c>
      <c r="AE48" s="26">
        <f>IF('Simulasi Premi 1 (Personal)'!$E$38="Menurun",'Spek Produk'!AE106,'Spek Produk'!AE164)</f>
        <v>101.21</v>
      </c>
      <c r="AF48" s="26">
        <f>IF('Simulasi Premi 1 (Personal)'!$E$38="Menurun",'Spek Produk'!AF106,'Spek Produk'!AF164)</f>
        <v>104.89</v>
      </c>
      <c r="AG48" s="26">
        <f>IF('Simulasi Premi 1 (Personal)'!$E$38="Menurun",'Spek Produk'!AG106,'Spek Produk'!AG164)</f>
        <v>0</v>
      </c>
      <c r="AH48" s="26">
        <f>IF('Simulasi Premi 1 (Personal)'!$E$38="Menurun",'Spek Produk'!AH106,'Spek Produk'!AH164)</f>
        <v>0</v>
      </c>
      <c r="AI48" s="26">
        <f>IF('Simulasi Premi 1 (Personal)'!$E$38="Menurun",'Spek Produk'!AI106,'Spek Produk'!AI164)</f>
        <v>0</v>
      </c>
      <c r="AJ48" s="26">
        <f>IF('Simulasi Premi 1 (Personal)'!$E$38="Menurun",'Spek Produk'!AJ106,'Spek Produk'!AJ164)</f>
        <v>0</v>
      </c>
      <c r="AK48" s="26">
        <f>IF('Simulasi Premi 1 (Personal)'!$E$38="Menurun",'Spek Produk'!AK106,'Spek Produk'!AK164)</f>
        <v>0</v>
      </c>
      <c r="AL48" s="26">
        <f>IF('Simulasi Premi 1 (Personal)'!$E$38="Menurun",'Spek Produk'!AL106,'Spek Produk'!AL164)</f>
        <v>0</v>
      </c>
      <c r="AM48" s="26">
        <f>IF('Simulasi Premi 1 (Personal)'!$E$38="Menurun",'Spek Produk'!AM106,'Spek Produk'!AM164)</f>
        <v>0</v>
      </c>
      <c r="AN48" s="26">
        <f>IF('Simulasi Premi 1 (Personal)'!$E$38="Menurun",'Spek Produk'!AN106,'Spek Produk'!AN164)</f>
        <v>0</v>
      </c>
      <c r="AO48" s="26">
        <f>IF('Simulasi Premi 1 (Personal)'!$E$38="Menurun",'Spek Produk'!AO106,'Spek Produk'!AO164)</f>
        <v>0</v>
      </c>
      <c r="AP48" s="26">
        <f>IF('Simulasi Premi 1 (Personal)'!$E$38="Menurun",'Spek Produk'!AP106,'Spek Produk'!AP164)</f>
        <v>0</v>
      </c>
    </row>
    <row r="49" spans="11:42" x14ac:dyDescent="0.35">
      <c r="L49" s="24" t="str">
        <f t="shared" si="0"/>
        <v/>
      </c>
      <c r="M49" s="26">
        <f>IF('Simulasi Premi 1 (Personal)'!$E$38="Menurun",'Spek Produk'!M107,'Spek Produk'!M165)</f>
        <v>0</v>
      </c>
      <c r="N49" s="26">
        <f>IF('Simulasi Premi 1 (Personal)'!$E$38="Menurun",'Spek Produk'!N107,'Spek Produk'!N165)</f>
        <v>0</v>
      </c>
      <c r="O49" s="26">
        <f>IF('Simulasi Premi 1 (Personal)'!$E$38="Menurun",'Spek Produk'!O107,'Spek Produk'!O165)</f>
        <v>0</v>
      </c>
      <c r="P49" s="26">
        <f>IF('Simulasi Premi 1 (Personal)'!$E$38="Menurun",'Spek Produk'!P107,'Spek Produk'!P165)</f>
        <v>0</v>
      </c>
      <c r="Q49" s="26">
        <f>IF('Simulasi Premi 1 (Personal)'!$E$38="Menurun",'Spek Produk'!Q107,'Spek Produk'!Q165)</f>
        <v>0</v>
      </c>
      <c r="R49" s="26">
        <f>IF('Simulasi Premi 1 (Personal)'!$E$38="Menurun",'Spek Produk'!R107,'Spek Produk'!R165)</f>
        <v>0</v>
      </c>
      <c r="S49" s="26">
        <f>IF('Simulasi Premi 1 (Personal)'!$E$38="Menurun",'Spek Produk'!S107,'Spek Produk'!S165)</f>
        <v>0</v>
      </c>
      <c r="T49" s="26">
        <f>IF('Simulasi Premi 1 (Personal)'!$E$38="Menurun",'Spek Produk'!T107,'Spek Produk'!T165)</f>
        <v>0</v>
      </c>
      <c r="U49" s="26">
        <f>IF('Simulasi Premi 1 (Personal)'!$E$38="Menurun",'Spek Produk'!U107,'Spek Produk'!U165)</f>
        <v>0</v>
      </c>
      <c r="V49" s="26">
        <f>IF('Simulasi Premi 1 (Personal)'!$E$38="Menurun",'Spek Produk'!V107,'Spek Produk'!V165)</f>
        <v>0</v>
      </c>
      <c r="W49" s="26">
        <f>IF('Simulasi Premi 1 (Personal)'!$E$38="Menurun",'Spek Produk'!W107,'Spek Produk'!W165)</f>
        <v>0</v>
      </c>
      <c r="X49" s="26">
        <f>IF('Simulasi Premi 1 (Personal)'!$E$38="Menurun",'Spek Produk'!X107,'Spek Produk'!X165)</f>
        <v>0</v>
      </c>
      <c r="Y49" s="26">
        <f>IF('Simulasi Premi 1 (Personal)'!$E$38="Menurun",'Spek Produk'!Y107,'Spek Produk'!Y165)</f>
        <v>0</v>
      </c>
      <c r="Z49" s="26">
        <f>IF('Simulasi Premi 1 (Personal)'!$E$38="Menurun",'Spek Produk'!Z107,'Spek Produk'!Z165)</f>
        <v>0</v>
      </c>
      <c r="AA49" s="26">
        <f>IF('Simulasi Premi 1 (Personal)'!$E$38="Menurun",'Spek Produk'!AA107,'Spek Produk'!AA165)</f>
        <v>0</v>
      </c>
      <c r="AB49" s="26">
        <f>IF('Simulasi Premi 1 (Personal)'!$E$38="Menurun",'Spek Produk'!AB107,'Spek Produk'!AB165)</f>
        <v>0</v>
      </c>
      <c r="AC49" s="26">
        <f>IF('Simulasi Premi 1 (Personal)'!$E$38="Menurun",'Spek Produk'!AC107,'Spek Produk'!AC165)</f>
        <v>0</v>
      </c>
      <c r="AD49" s="26">
        <f>IF('Simulasi Premi 1 (Personal)'!$E$38="Menurun",'Spek Produk'!AD107,'Spek Produk'!AD165)</f>
        <v>0</v>
      </c>
      <c r="AE49" s="26">
        <f>IF('Simulasi Premi 1 (Personal)'!$E$38="Menurun",'Spek Produk'!AE107,'Spek Produk'!AE165)</f>
        <v>0</v>
      </c>
      <c r="AF49" s="26">
        <f>IF('Simulasi Premi 1 (Personal)'!$E$38="Menurun",'Spek Produk'!AF107,'Spek Produk'!AF165)</f>
        <v>0</v>
      </c>
      <c r="AG49" s="26">
        <f>IF('Simulasi Premi 1 (Personal)'!$E$38="Menurun",'Spek Produk'!AG107,'Spek Produk'!AG165)</f>
        <v>0</v>
      </c>
      <c r="AH49" s="26">
        <f>IF('Simulasi Premi 1 (Personal)'!$E$38="Menurun",'Spek Produk'!AH107,'Spek Produk'!AH165)</f>
        <v>0</v>
      </c>
      <c r="AI49" s="26">
        <f>IF('Simulasi Premi 1 (Personal)'!$E$38="Menurun",'Spek Produk'!AI107,'Spek Produk'!AI165)</f>
        <v>0</v>
      </c>
      <c r="AJ49" s="26">
        <f>IF('Simulasi Premi 1 (Personal)'!$E$38="Menurun",'Spek Produk'!AJ107,'Spek Produk'!AJ165)</f>
        <v>0</v>
      </c>
      <c r="AK49" s="26">
        <f>IF('Simulasi Premi 1 (Personal)'!$E$38="Menurun",'Spek Produk'!AK107,'Spek Produk'!AK165)</f>
        <v>0</v>
      </c>
      <c r="AL49" s="26">
        <f>IF('Simulasi Premi 1 (Personal)'!$E$38="Menurun",'Spek Produk'!AL107,'Spek Produk'!AL165)</f>
        <v>0</v>
      </c>
      <c r="AM49" s="26">
        <f>IF('Simulasi Premi 1 (Personal)'!$E$38="Menurun",'Spek Produk'!AM107,'Spek Produk'!AM165)</f>
        <v>0</v>
      </c>
      <c r="AN49" s="26">
        <f>IF('Simulasi Premi 1 (Personal)'!$E$38="Menurun",'Spek Produk'!AN107,'Spek Produk'!AN165)</f>
        <v>0</v>
      </c>
      <c r="AO49" s="26">
        <f>IF('Simulasi Premi 1 (Personal)'!$E$38="Menurun",'Spek Produk'!AO107,'Spek Produk'!AO165)</f>
        <v>0</v>
      </c>
      <c r="AP49" s="26">
        <f>IF('Simulasi Premi 1 (Personal)'!$E$38="Menurun",'Spek Produk'!AP107,'Spek Produk'!AP165)</f>
        <v>0</v>
      </c>
    </row>
    <row r="50" spans="11:42" x14ac:dyDescent="0.35">
      <c r="L50" s="24" t="str">
        <f t="shared" si="0"/>
        <v/>
      </c>
      <c r="M50" s="26">
        <f>IF('Simulasi Premi 1 (Personal)'!$E$38="Menurun",'Spek Produk'!M108,'Spek Produk'!M166)</f>
        <v>0</v>
      </c>
      <c r="N50" s="26">
        <f>IF('Simulasi Premi 1 (Personal)'!$E$38="Menurun",'Spek Produk'!N108,'Spek Produk'!N166)</f>
        <v>0</v>
      </c>
      <c r="O50" s="26">
        <f>IF('Simulasi Premi 1 (Personal)'!$E$38="Menurun",'Spek Produk'!O108,'Spek Produk'!O166)</f>
        <v>0</v>
      </c>
      <c r="P50" s="26">
        <f>IF('Simulasi Premi 1 (Personal)'!$E$38="Menurun",'Spek Produk'!P108,'Spek Produk'!P166)</f>
        <v>0</v>
      </c>
      <c r="Q50" s="26">
        <f>IF('Simulasi Premi 1 (Personal)'!$E$38="Menurun",'Spek Produk'!Q108,'Spek Produk'!Q166)</f>
        <v>0</v>
      </c>
      <c r="R50" s="26">
        <f>IF('Simulasi Premi 1 (Personal)'!$E$38="Menurun",'Spek Produk'!R108,'Spek Produk'!R166)</f>
        <v>0</v>
      </c>
      <c r="S50" s="26">
        <f>IF('Simulasi Premi 1 (Personal)'!$E$38="Menurun",'Spek Produk'!S108,'Spek Produk'!S166)</f>
        <v>0</v>
      </c>
      <c r="T50" s="26">
        <f>IF('Simulasi Premi 1 (Personal)'!$E$38="Menurun",'Spek Produk'!T108,'Spek Produk'!T166)</f>
        <v>0</v>
      </c>
      <c r="U50" s="26">
        <f>IF('Simulasi Premi 1 (Personal)'!$E$38="Menurun",'Spek Produk'!U108,'Spek Produk'!U166)</f>
        <v>0</v>
      </c>
      <c r="V50" s="26">
        <f>IF('Simulasi Premi 1 (Personal)'!$E$38="Menurun",'Spek Produk'!V108,'Spek Produk'!V166)</f>
        <v>0</v>
      </c>
      <c r="W50" s="26">
        <f>IF('Simulasi Premi 1 (Personal)'!$E$38="Menurun",'Spek Produk'!W108,'Spek Produk'!W166)</f>
        <v>0</v>
      </c>
      <c r="X50" s="26">
        <f>IF('Simulasi Premi 1 (Personal)'!$E$38="Menurun",'Spek Produk'!X108,'Spek Produk'!X166)</f>
        <v>0</v>
      </c>
      <c r="Y50" s="26">
        <f>IF('Simulasi Premi 1 (Personal)'!$E$38="Menurun",'Spek Produk'!Y108,'Spek Produk'!Y166)</f>
        <v>0</v>
      </c>
      <c r="Z50" s="26">
        <f>IF('Simulasi Premi 1 (Personal)'!$E$38="Menurun",'Spek Produk'!Z108,'Spek Produk'!Z166)</f>
        <v>0</v>
      </c>
      <c r="AA50" s="26">
        <f>IF('Simulasi Premi 1 (Personal)'!$E$38="Menurun",'Spek Produk'!AA108,'Spek Produk'!AA166)</f>
        <v>0</v>
      </c>
      <c r="AB50" s="26">
        <f>IF('Simulasi Premi 1 (Personal)'!$E$38="Menurun",'Spek Produk'!AB108,'Spek Produk'!AB166)</f>
        <v>0</v>
      </c>
      <c r="AC50" s="26">
        <f>IF('Simulasi Premi 1 (Personal)'!$E$38="Menurun",'Spek Produk'!AC108,'Spek Produk'!AC166)</f>
        <v>0</v>
      </c>
      <c r="AD50" s="26">
        <f>IF('Simulasi Premi 1 (Personal)'!$E$38="Menurun",'Spek Produk'!AD108,'Spek Produk'!AD166)</f>
        <v>0</v>
      </c>
      <c r="AE50" s="26">
        <f>IF('Simulasi Premi 1 (Personal)'!$E$38="Menurun",'Spek Produk'!AE108,'Spek Produk'!AE166)</f>
        <v>0</v>
      </c>
      <c r="AF50" s="26">
        <f>IF('Simulasi Premi 1 (Personal)'!$E$38="Menurun",'Spek Produk'!AF108,'Spek Produk'!AF166)</f>
        <v>0</v>
      </c>
      <c r="AG50" s="26">
        <f>IF('Simulasi Premi 1 (Personal)'!$E$38="Menurun",'Spek Produk'!AG108,'Spek Produk'!AG166)</f>
        <v>0</v>
      </c>
      <c r="AH50" s="26">
        <f>IF('Simulasi Premi 1 (Personal)'!$E$38="Menurun",'Spek Produk'!AH108,'Spek Produk'!AH166)</f>
        <v>0</v>
      </c>
      <c r="AI50" s="26">
        <f>IF('Simulasi Premi 1 (Personal)'!$E$38="Menurun",'Spek Produk'!AI108,'Spek Produk'!AI166)</f>
        <v>0</v>
      </c>
      <c r="AJ50" s="26">
        <f>IF('Simulasi Premi 1 (Personal)'!$E$38="Menurun",'Spek Produk'!AJ108,'Spek Produk'!AJ166)</f>
        <v>0</v>
      </c>
      <c r="AK50" s="26">
        <f>IF('Simulasi Premi 1 (Personal)'!$E$38="Menurun",'Spek Produk'!AK108,'Spek Produk'!AK166)</f>
        <v>0</v>
      </c>
      <c r="AL50" s="26">
        <f>IF('Simulasi Premi 1 (Personal)'!$E$38="Menurun",'Spek Produk'!AL108,'Spek Produk'!AL166)</f>
        <v>0</v>
      </c>
      <c r="AM50" s="26">
        <f>IF('Simulasi Premi 1 (Personal)'!$E$38="Menurun",'Spek Produk'!AM108,'Spek Produk'!AM166)</f>
        <v>0</v>
      </c>
      <c r="AN50" s="26">
        <f>IF('Simulasi Premi 1 (Personal)'!$E$38="Menurun",'Spek Produk'!AN108,'Spek Produk'!AN166)</f>
        <v>0</v>
      </c>
      <c r="AO50" s="26">
        <f>IF('Simulasi Premi 1 (Personal)'!$E$38="Menurun",'Spek Produk'!AO108,'Spek Produk'!AO166)</f>
        <v>0</v>
      </c>
      <c r="AP50" s="26">
        <f>IF('Simulasi Premi 1 (Personal)'!$E$38="Menurun",'Spek Produk'!AP108,'Spek Produk'!AP166)</f>
        <v>0</v>
      </c>
    </row>
    <row r="51" spans="11:42" x14ac:dyDescent="0.35">
      <c r="L51" s="24" t="str">
        <f t="shared" si="0"/>
        <v/>
      </c>
      <c r="M51" s="26">
        <f>IF('Simulasi Premi 1 (Personal)'!$E$38="Menurun",'Spek Produk'!M109,'Spek Produk'!M167)</f>
        <v>0</v>
      </c>
      <c r="N51" s="26">
        <f>IF('Simulasi Premi 1 (Personal)'!$E$38="Menurun",'Spek Produk'!N109,'Spek Produk'!N167)</f>
        <v>0</v>
      </c>
      <c r="O51" s="26">
        <f>IF('Simulasi Premi 1 (Personal)'!$E$38="Menurun",'Spek Produk'!O109,'Spek Produk'!O167)</f>
        <v>0</v>
      </c>
      <c r="P51" s="26">
        <f>IF('Simulasi Premi 1 (Personal)'!$E$38="Menurun",'Spek Produk'!P109,'Spek Produk'!P167)</f>
        <v>0</v>
      </c>
      <c r="Q51" s="26">
        <f>IF('Simulasi Premi 1 (Personal)'!$E$38="Menurun",'Spek Produk'!Q109,'Spek Produk'!Q167)</f>
        <v>0</v>
      </c>
      <c r="R51" s="26">
        <f>IF('Simulasi Premi 1 (Personal)'!$E$38="Menurun",'Spek Produk'!R109,'Spek Produk'!R167)</f>
        <v>0</v>
      </c>
      <c r="S51" s="26">
        <f>IF('Simulasi Premi 1 (Personal)'!$E$38="Menurun",'Spek Produk'!S109,'Spek Produk'!S167)</f>
        <v>0</v>
      </c>
      <c r="T51" s="26">
        <f>IF('Simulasi Premi 1 (Personal)'!$E$38="Menurun",'Spek Produk'!T109,'Spek Produk'!T167)</f>
        <v>0</v>
      </c>
      <c r="U51" s="26">
        <f>IF('Simulasi Premi 1 (Personal)'!$E$38="Menurun",'Spek Produk'!U109,'Spek Produk'!U167)</f>
        <v>0</v>
      </c>
      <c r="V51" s="26">
        <f>IF('Simulasi Premi 1 (Personal)'!$E$38="Menurun",'Spek Produk'!V109,'Spek Produk'!V167)</f>
        <v>0</v>
      </c>
      <c r="W51" s="26">
        <f>IF('Simulasi Premi 1 (Personal)'!$E$38="Menurun",'Spek Produk'!W109,'Spek Produk'!W167)</f>
        <v>0</v>
      </c>
      <c r="X51" s="26">
        <f>IF('Simulasi Premi 1 (Personal)'!$E$38="Menurun",'Spek Produk'!X109,'Spek Produk'!X167)</f>
        <v>0</v>
      </c>
      <c r="Y51" s="26">
        <f>IF('Simulasi Premi 1 (Personal)'!$E$38="Menurun",'Spek Produk'!Y109,'Spek Produk'!Y167)</f>
        <v>0</v>
      </c>
      <c r="Z51" s="26">
        <f>IF('Simulasi Premi 1 (Personal)'!$E$38="Menurun",'Spek Produk'!Z109,'Spek Produk'!Z167)</f>
        <v>0</v>
      </c>
      <c r="AA51" s="26">
        <f>IF('Simulasi Premi 1 (Personal)'!$E$38="Menurun",'Spek Produk'!AA109,'Spek Produk'!AA167)</f>
        <v>0</v>
      </c>
      <c r="AB51" s="26">
        <f>IF('Simulasi Premi 1 (Personal)'!$E$38="Menurun",'Spek Produk'!AB109,'Spek Produk'!AB167)</f>
        <v>0</v>
      </c>
      <c r="AC51" s="26">
        <f>IF('Simulasi Premi 1 (Personal)'!$E$38="Menurun",'Spek Produk'!AC109,'Spek Produk'!AC167)</f>
        <v>0</v>
      </c>
      <c r="AD51" s="26">
        <f>IF('Simulasi Premi 1 (Personal)'!$E$38="Menurun",'Spek Produk'!AD109,'Spek Produk'!AD167)</f>
        <v>0</v>
      </c>
      <c r="AE51" s="26">
        <f>IF('Simulasi Premi 1 (Personal)'!$E$38="Menurun",'Spek Produk'!AE109,'Spek Produk'!AE167)</f>
        <v>0</v>
      </c>
      <c r="AF51" s="26">
        <f>IF('Simulasi Premi 1 (Personal)'!$E$38="Menurun",'Spek Produk'!AF109,'Spek Produk'!AF167)</f>
        <v>0</v>
      </c>
      <c r="AG51" s="26">
        <f>IF('Simulasi Premi 1 (Personal)'!$E$38="Menurun",'Spek Produk'!AG109,'Spek Produk'!AG167)</f>
        <v>0</v>
      </c>
      <c r="AH51" s="26">
        <f>IF('Simulasi Premi 1 (Personal)'!$E$38="Menurun",'Spek Produk'!AH109,'Spek Produk'!AH167)</f>
        <v>0</v>
      </c>
      <c r="AI51" s="26">
        <f>IF('Simulasi Premi 1 (Personal)'!$E$38="Menurun",'Spek Produk'!AI109,'Spek Produk'!AI167)</f>
        <v>0</v>
      </c>
      <c r="AJ51" s="26">
        <f>IF('Simulasi Premi 1 (Personal)'!$E$38="Menurun",'Spek Produk'!AJ109,'Spek Produk'!AJ167)</f>
        <v>0</v>
      </c>
      <c r="AK51" s="26">
        <f>IF('Simulasi Premi 1 (Personal)'!$E$38="Menurun",'Spek Produk'!AK109,'Spek Produk'!AK167)</f>
        <v>0</v>
      </c>
      <c r="AL51" s="26">
        <f>IF('Simulasi Premi 1 (Personal)'!$E$38="Menurun",'Spek Produk'!AL109,'Spek Produk'!AL167)</f>
        <v>0</v>
      </c>
      <c r="AM51" s="26">
        <f>IF('Simulasi Premi 1 (Personal)'!$E$38="Menurun",'Spek Produk'!AM109,'Spek Produk'!AM167)</f>
        <v>0</v>
      </c>
      <c r="AN51" s="26">
        <f>IF('Simulasi Premi 1 (Personal)'!$E$38="Menurun",'Spek Produk'!AN109,'Spek Produk'!AN167)</f>
        <v>0</v>
      </c>
      <c r="AO51" s="26">
        <f>IF('Simulasi Premi 1 (Personal)'!$E$38="Menurun",'Spek Produk'!AO109,'Spek Produk'!AO167)</f>
        <v>0</v>
      </c>
      <c r="AP51" s="26">
        <f>IF('Simulasi Premi 1 (Personal)'!$E$38="Menurun",'Spek Produk'!AP109,'Spek Produk'!AP167)</f>
        <v>0</v>
      </c>
    </row>
    <row r="52" spans="11:42" x14ac:dyDescent="0.35">
      <c r="L52" s="24" t="str">
        <f t="shared" si="0"/>
        <v/>
      </c>
      <c r="M52" s="26">
        <f>IF('Simulasi Premi 1 (Personal)'!$E$38="Menurun",'Spek Produk'!M110,'Spek Produk'!M168)</f>
        <v>0</v>
      </c>
      <c r="N52" s="26">
        <f>IF('Simulasi Premi 1 (Personal)'!$E$38="Menurun",'Spek Produk'!N110,'Spek Produk'!N168)</f>
        <v>0</v>
      </c>
      <c r="O52" s="26">
        <f>IF('Simulasi Premi 1 (Personal)'!$E$38="Menurun",'Spek Produk'!O110,'Spek Produk'!O168)</f>
        <v>0</v>
      </c>
      <c r="P52" s="26">
        <f>IF('Simulasi Premi 1 (Personal)'!$E$38="Menurun",'Spek Produk'!P110,'Spek Produk'!P168)</f>
        <v>0</v>
      </c>
      <c r="Q52" s="26">
        <f>IF('Simulasi Premi 1 (Personal)'!$E$38="Menurun",'Spek Produk'!Q110,'Spek Produk'!Q168)</f>
        <v>0</v>
      </c>
      <c r="R52" s="26">
        <f>IF('Simulasi Premi 1 (Personal)'!$E$38="Menurun",'Spek Produk'!R110,'Spek Produk'!R168)</f>
        <v>0</v>
      </c>
      <c r="S52" s="26">
        <f>IF('Simulasi Premi 1 (Personal)'!$E$38="Menurun",'Spek Produk'!S110,'Spek Produk'!S168)</f>
        <v>0</v>
      </c>
      <c r="T52" s="26">
        <f>IF('Simulasi Premi 1 (Personal)'!$E$38="Menurun",'Spek Produk'!T110,'Spek Produk'!T168)</f>
        <v>0</v>
      </c>
      <c r="U52" s="26">
        <f>IF('Simulasi Premi 1 (Personal)'!$E$38="Menurun",'Spek Produk'!U110,'Spek Produk'!U168)</f>
        <v>0</v>
      </c>
      <c r="V52" s="26">
        <f>IF('Simulasi Premi 1 (Personal)'!$E$38="Menurun",'Spek Produk'!V110,'Spek Produk'!V168)</f>
        <v>0</v>
      </c>
      <c r="W52" s="26">
        <f>IF('Simulasi Premi 1 (Personal)'!$E$38="Menurun",'Spek Produk'!W110,'Spek Produk'!W168)</f>
        <v>0</v>
      </c>
      <c r="X52" s="26">
        <f>IF('Simulasi Premi 1 (Personal)'!$E$38="Menurun",'Spek Produk'!X110,'Spek Produk'!X168)</f>
        <v>0</v>
      </c>
      <c r="Y52" s="26">
        <f>IF('Simulasi Premi 1 (Personal)'!$E$38="Menurun",'Spek Produk'!Y110,'Spek Produk'!Y168)</f>
        <v>0</v>
      </c>
      <c r="Z52" s="26">
        <f>IF('Simulasi Premi 1 (Personal)'!$E$38="Menurun",'Spek Produk'!Z110,'Spek Produk'!Z168)</f>
        <v>0</v>
      </c>
      <c r="AA52" s="26">
        <f>IF('Simulasi Premi 1 (Personal)'!$E$38="Menurun",'Spek Produk'!AA110,'Spek Produk'!AA168)</f>
        <v>0</v>
      </c>
      <c r="AB52" s="26">
        <f>IF('Simulasi Premi 1 (Personal)'!$E$38="Menurun",'Spek Produk'!AB110,'Spek Produk'!AB168)</f>
        <v>0</v>
      </c>
      <c r="AC52" s="26">
        <f>IF('Simulasi Premi 1 (Personal)'!$E$38="Menurun",'Spek Produk'!AC110,'Spek Produk'!AC168)</f>
        <v>0</v>
      </c>
      <c r="AD52" s="26">
        <f>IF('Simulasi Premi 1 (Personal)'!$E$38="Menurun",'Spek Produk'!AD110,'Spek Produk'!AD168)</f>
        <v>0</v>
      </c>
      <c r="AE52" s="26">
        <f>IF('Simulasi Premi 1 (Personal)'!$E$38="Menurun",'Spek Produk'!AE110,'Spek Produk'!AE168)</f>
        <v>0</v>
      </c>
      <c r="AF52" s="26">
        <f>IF('Simulasi Premi 1 (Personal)'!$E$38="Menurun",'Spek Produk'!AF110,'Spek Produk'!AF168)</f>
        <v>0</v>
      </c>
      <c r="AG52" s="26">
        <f>IF('Simulasi Premi 1 (Personal)'!$E$38="Menurun",'Spek Produk'!AG110,'Spek Produk'!AG168)</f>
        <v>0</v>
      </c>
      <c r="AH52" s="26">
        <f>IF('Simulasi Premi 1 (Personal)'!$E$38="Menurun",'Spek Produk'!AH110,'Spek Produk'!AH168)</f>
        <v>0</v>
      </c>
      <c r="AI52" s="26">
        <f>IF('Simulasi Premi 1 (Personal)'!$E$38="Menurun",'Spek Produk'!AI110,'Spek Produk'!AI168)</f>
        <v>0</v>
      </c>
      <c r="AJ52" s="26">
        <f>IF('Simulasi Premi 1 (Personal)'!$E$38="Menurun",'Spek Produk'!AJ110,'Spek Produk'!AJ168)</f>
        <v>0</v>
      </c>
      <c r="AK52" s="26">
        <f>IF('Simulasi Premi 1 (Personal)'!$E$38="Menurun",'Spek Produk'!AK110,'Spek Produk'!AK168)</f>
        <v>0</v>
      </c>
      <c r="AL52" s="26">
        <f>IF('Simulasi Premi 1 (Personal)'!$E$38="Menurun",'Spek Produk'!AL110,'Spek Produk'!AL168)</f>
        <v>0</v>
      </c>
      <c r="AM52" s="26">
        <f>IF('Simulasi Premi 1 (Personal)'!$E$38="Menurun",'Spek Produk'!AM110,'Spek Produk'!AM168)</f>
        <v>0</v>
      </c>
      <c r="AN52" s="26">
        <f>IF('Simulasi Premi 1 (Personal)'!$E$38="Menurun",'Spek Produk'!AN110,'Spek Produk'!AN168)</f>
        <v>0</v>
      </c>
      <c r="AO52" s="26">
        <f>IF('Simulasi Premi 1 (Personal)'!$E$38="Menurun",'Spek Produk'!AO110,'Spek Produk'!AO168)</f>
        <v>0</v>
      </c>
      <c r="AP52" s="26">
        <f>IF('Simulasi Premi 1 (Personal)'!$E$38="Menurun",'Spek Produk'!AP110,'Spek Produk'!AP168)</f>
        <v>0</v>
      </c>
    </row>
    <row r="53" spans="11:42" x14ac:dyDescent="0.35">
      <c r="L53" s="24" t="str">
        <f t="shared" si="0"/>
        <v/>
      </c>
      <c r="M53" s="26">
        <f>IF('Simulasi Premi 1 (Personal)'!$E$38="Menurun",'Spek Produk'!M111,'Spek Produk'!M169)</f>
        <v>0</v>
      </c>
      <c r="N53" s="26">
        <f>IF('Simulasi Premi 1 (Personal)'!$E$38="Menurun",'Spek Produk'!N111,'Spek Produk'!N169)</f>
        <v>0</v>
      </c>
      <c r="O53" s="26">
        <f>IF('Simulasi Premi 1 (Personal)'!$E$38="Menurun",'Spek Produk'!O111,'Spek Produk'!O169)</f>
        <v>0</v>
      </c>
      <c r="P53" s="26">
        <f>IF('Simulasi Premi 1 (Personal)'!$E$38="Menurun",'Spek Produk'!P111,'Spek Produk'!P169)</f>
        <v>0</v>
      </c>
      <c r="Q53" s="26">
        <f>IF('Simulasi Premi 1 (Personal)'!$E$38="Menurun",'Spek Produk'!Q111,'Spek Produk'!Q169)</f>
        <v>0</v>
      </c>
      <c r="R53" s="26">
        <f>IF('Simulasi Premi 1 (Personal)'!$E$38="Menurun",'Spek Produk'!R111,'Spek Produk'!R169)</f>
        <v>0</v>
      </c>
      <c r="S53" s="26">
        <f>IF('Simulasi Premi 1 (Personal)'!$E$38="Menurun",'Spek Produk'!S111,'Spek Produk'!S169)</f>
        <v>0</v>
      </c>
      <c r="T53" s="26">
        <f>IF('Simulasi Premi 1 (Personal)'!$E$38="Menurun",'Spek Produk'!T111,'Spek Produk'!T169)</f>
        <v>0</v>
      </c>
      <c r="U53" s="26">
        <f>IF('Simulasi Premi 1 (Personal)'!$E$38="Menurun",'Spek Produk'!U111,'Spek Produk'!U169)</f>
        <v>0</v>
      </c>
      <c r="V53" s="26">
        <f>IF('Simulasi Premi 1 (Personal)'!$E$38="Menurun",'Spek Produk'!V111,'Spek Produk'!V169)</f>
        <v>0</v>
      </c>
      <c r="W53" s="26">
        <f>IF('Simulasi Premi 1 (Personal)'!$E$38="Menurun",'Spek Produk'!W111,'Spek Produk'!W169)</f>
        <v>0</v>
      </c>
      <c r="X53" s="26">
        <f>IF('Simulasi Premi 1 (Personal)'!$E$38="Menurun",'Spek Produk'!X111,'Spek Produk'!X169)</f>
        <v>0</v>
      </c>
      <c r="Y53" s="26">
        <f>IF('Simulasi Premi 1 (Personal)'!$E$38="Menurun",'Spek Produk'!Y111,'Spek Produk'!Y169)</f>
        <v>0</v>
      </c>
      <c r="Z53" s="26">
        <f>IF('Simulasi Premi 1 (Personal)'!$E$38="Menurun",'Spek Produk'!Z111,'Spek Produk'!Z169)</f>
        <v>0</v>
      </c>
      <c r="AA53" s="26">
        <f>IF('Simulasi Premi 1 (Personal)'!$E$38="Menurun",'Spek Produk'!AA111,'Spek Produk'!AA169)</f>
        <v>0</v>
      </c>
      <c r="AB53" s="26">
        <f>IF('Simulasi Premi 1 (Personal)'!$E$38="Menurun",'Spek Produk'!AB111,'Spek Produk'!AB169)</f>
        <v>0</v>
      </c>
      <c r="AC53" s="26">
        <f>IF('Simulasi Premi 1 (Personal)'!$E$38="Menurun",'Spek Produk'!AC111,'Spek Produk'!AC169)</f>
        <v>0</v>
      </c>
      <c r="AD53" s="26">
        <f>IF('Simulasi Premi 1 (Personal)'!$E$38="Menurun",'Spek Produk'!AD111,'Spek Produk'!AD169)</f>
        <v>0</v>
      </c>
      <c r="AE53" s="26">
        <f>IF('Simulasi Premi 1 (Personal)'!$E$38="Menurun",'Spek Produk'!AE111,'Spek Produk'!AE169)</f>
        <v>0</v>
      </c>
      <c r="AF53" s="26">
        <f>IF('Simulasi Premi 1 (Personal)'!$E$38="Menurun",'Spek Produk'!AF111,'Spek Produk'!AF169)</f>
        <v>0</v>
      </c>
      <c r="AG53" s="26">
        <f>IF('Simulasi Premi 1 (Personal)'!$E$38="Menurun",'Spek Produk'!AG111,'Spek Produk'!AG169)</f>
        <v>0</v>
      </c>
      <c r="AH53" s="26">
        <f>IF('Simulasi Premi 1 (Personal)'!$E$38="Menurun",'Spek Produk'!AH111,'Spek Produk'!AH169)</f>
        <v>0</v>
      </c>
      <c r="AI53" s="26">
        <f>IF('Simulasi Premi 1 (Personal)'!$E$38="Menurun",'Spek Produk'!AI111,'Spek Produk'!AI169)</f>
        <v>0</v>
      </c>
      <c r="AJ53" s="26">
        <f>IF('Simulasi Premi 1 (Personal)'!$E$38="Menurun",'Spek Produk'!AJ111,'Spek Produk'!AJ169)</f>
        <v>0</v>
      </c>
      <c r="AK53" s="26">
        <f>IF('Simulasi Premi 1 (Personal)'!$E$38="Menurun",'Spek Produk'!AK111,'Spek Produk'!AK169)</f>
        <v>0</v>
      </c>
      <c r="AL53" s="26">
        <f>IF('Simulasi Premi 1 (Personal)'!$E$38="Menurun",'Spek Produk'!AL111,'Spek Produk'!AL169)</f>
        <v>0</v>
      </c>
      <c r="AM53" s="26">
        <f>IF('Simulasi Premi 1 (Personal)'!$E$38="Menurun",'Spek Produk'!AM111,'Spek Produk'!AM169)</f>
        <v>0</v>
      </c>
      <c r="AN53" s="26">
        <f>IF('Simulasi Premi 1 (Personal)'!$E$38="Menurun",'Spek Produk'!AN111,'Spek Produk'!AN169)</f>
        <v>0</v>
      </c>
      <c r="AO53" s="26">
        <f>IF('Simulasi Premi 1 (Personal)'!$E$38="Menurun",'Spek Produk'!AO111,'Spek Produk'!AO169)</f>
        <v>0</v>
      </c>
      <c r="AP53" s="26">
        <f>IF('Simulasi Premi 1 (Personal)'!$E$38="Menurun",'Spek Produk'!AP111,'Spek Produk'!AP169)</f>
        <v>0</v>
      </c>
    </row>
    <row r="54" spans="11:42" x14ac:dyDescent="0.35">
      <c r="L54" s="24" t="str">
        <f t="shared" si="0"/>
        <v/>
      </c>
      <c r="M54" s="26">
        <f>IF('Simulasi Premi 1 (Personal)'!$E$38="Menurun",'Spek Produk'!M112,'Spek Produk'!M170)</f>
        <v>0</v>
      </c>
      <c r="N54" s="26">
        <f>IF('Simulasi Premi 1 (Personal)'!$E$38="Menurun",'Spek Produk'!N112,'Spek Produk'!N170)</f>
        <v>0</v>
      </c>
      <c r="O54" s="26">
        <f>IF('Simulasi Premi 1 (Personal)'!$E$38="Menurun",'Spek Produk'!O112,'Spek Produk'!O170)</f>
        <v>0</v>
      </c>
      <c r="P54" s="26">
        <f>IF('Simulasi Premi 1 (Personal)'!$E$38="Menurun",'Spek Produk'!P112,'Spek Produk'!P170)</f>
        <v>0</v>
      </c>
      <c r="Q54" s="26">
        <f>IF('Simulasi Premi 1 (Personal)'!$E$38="Menurun",'Spek Produk'!Q112,'Spek Produk'!Q170)</f>
        <v>0</v>
      </c>
      <c r="R54" s="26">
        <f>IF('Simulasi Premi 1 (Personal)'!$E$38="Menurun",'Spek Produk'!R112,'Spek Produk'!R170)</f>
        <v>0</v>
      </c>
      <c r="S54" s="26">
        <f>IF('Simulasi Premi 1 (Personal)'!$E$38="Menurun",'Spek Produk'!S112,'Spek Produk'!S170)</f>
        <v>0</v>
      </c>
      <c r="T54" s="26">
        <f>IF('Simulasi Premi 1 (Personal)'!$E$38="Menurun",'Spek Produk'!T112,'Spek Produk'!T170)</f>
        <v>0</v>
      </c>
      <c r="U54" s="26">
        <f>IF('Simulasi Premi 1 (Personal)'!$E$38="Menurun",'Spek Produk'!U112,'Spek Produk'!U170)</f>
        <v>0</v>
      </c>
      <c r="V54" s="26">
        <f>IF('Simulasi Premi 1 (Personal)'!$E$38="Menurun",'Spek Produk'!V112,'Spek Produk'!V170)</f>
        <v>0</v>
      </c>
      <c r="W54" s="26">
        <f>IF('Simulasi Premi 1 (Personal)'!$E$38="Menurun",'Spek Produk'!W112,'Spek Produk'!W170)</f>
        <v>0</v>
      </c>
      <c r="X54" s="26">
        <f>IF('Simulasi Premi 1 (Personal)'!$E$38="Menurun",'Spek Produk'!X112,'Spek Produk'!X170)</f>
        <v>0</v>
      </c>
      <c r="Y54" s="26">
        <f>IF('Simulasi Premi 1 (Personal)'!$E$38="Menurun",'Spek Produk'!Y112,'Spek Produk'!Y170)</f>
        <v>0</v>
      </c>
      <c r="Z54" s="26">
        <f>IF('Simulasi Premi 1 (Personal)'!$E$38="Menurun",'Spek Produk'!Z112,'Spek Produk'!Z170)</f>
        <v>0</v>
      </c>
      <c r="AA54" s="26">
        <f>IF('Simulasi Premi 1 (Personal)'!$E$38="Menurun",'Spek Produk'!AA112,'Spek Produk'!AA170)</f>
        <v>0</v>
      </c>
      <c r="AB54" s="26">
        <f>IF('Simulasi Premi 1 (Personal)'!$E$38="Menurun",'Spek Produk'!AB112,'Spek Produk'!AB170)</f>
        <v>0</v>
      </c>
      <c r="AC54" s="26">
        <f>IF('Simulasi Premi 1 (Personal)'!$E$38="Menurun",'Spek Produk'!AC112,'Spek Produk'!AC170)</f>
        <v>0</v>
      </c>
      <c r="AD54" s="26">
        <f>IF('Simulasi Premi 1 (Personal)'!$E$38="Menurun",'Spek Produk'!AD112,'Spek Produk'!AD170)</f>
        <v>0</v>
      </c>
      <c r="AE54" s="26">
        <f>IF('Simulasi Premi 1 (Personal)'!$E$38="Menurun",'Spek Produk'!AE112,'Spek Produk'!AE170)</f>
        <v>0</v>
      </c>
      <c r="AF54" s="26">
        <f>IF('Simulasi Premi 1 (Personal)'!$E$38="Menurun",'Spek Produk'!AF112,'Spek Produk'!AF170)</f>
        <v>0</v>
      </c>
      <c r="AG54" s="26">
        <f>IF('Simulasi Premi 1 (Personal)'!$E$38="Menurun",'Spek Produk'!AG112,'Spek Produk'!AG170)</f>
        <v>0</v>
      </c>
      <c r="AH54" s="26">
        <f>IF('Simulasi Premi 1 (Personal)'!$E$38="Menurun",'Spek Produk'!AH112,'Spek Produk'!AH170)</f>
        <v>0</v>
      </c>
      <c r="AI54" s="26">
        <f>IF('Simulasi Premi 1 (Personal)'!$E$38="Menurun",'Spek Produk'!AI112,'Spek Produk'!AI170)</f>
        <v>0</v>
      </c>
      <c r="AJ54" s="26">
        <f>IF('Simulasi Premi 1 (Personal)'!$E$38="Menurun",'Spek Produk'!AJ112,'Spek Produk'!AJ170)</f>
        <v>0</v>
      </c>
      <c r="AK54" s="26">
        <f>IF('Simulasi Premi 1 (Personal)'!$E$38="Menurun",'Spek Produk'!AK112,'Spek Produk'!AK170)</f>
        <v>0</v>
      </c>
      <c r="AL54" s="26">
        <f>IF('Simulasi Premi 1 (Personal)'!$E$38="Menurun",'Spek Produk'!AL112,'Spek Produk'!AL170)</f>
        <v>0</v>
      </c>
      <c r="AM54" s="26">
        <f>IF('Simulasi Premi 1 (Personal)'!$E$38="Menurun",'Spek Produk'!AM112,'Spek Produk'!AM170)</f>
        <v>0</v>
      </c>
      <c r="AN54" s="26">
        <f>IF('Simulasi Premi 1 (Personal)'!$E$38="Menurun",'Spek Produk'!AN112,'Spek Produk'!AN170)</f>
        <v>0</v>
      </c>
      <c r="AO54" s="26">
        <f>IF('Simulasi Premi 1 (Personal)'!$E$38="Menurun",'Spek Produk'!AO112,'Spek Produk'!AO170)</f>
        <v>0</v>
      </c>
      <c r="AP54" s="26">
        <f>IF('Simulasi Premi 1 (Personal)'!$E$38="Menurun",'Spek Produk'!AP112,'Spek Produk'!AP170)</f>
        <v>0</v>
      </c>
    </row>
    <row r="55" spans="11:42" x14ac:dyDescent="0.35">
      <c r="L55" s="24" t="str">
        <f t="shared" si="0"/>
        <v/>
      </c>
      <c r="M55" s="26">
        <f>IF('Simulasi Premi 1 (Personal)'!$E$38="Menurun",'Spek Produk'!M113,'Spek Produk'!M171)</f>
        <v>0</v>
      </c>
      <c r="N55" s="26">
        <f>IF('Simulasi Premi 1 (Personal)'!$E$38="Menurun",'Spek Produk'!N113,'Spek Produk'!N171)</f>
        <v>0</v>
      </c>
      <c r="O55" s="26">
        <f>IF('Simulasi Premi 1 (Personal)'!$E$38="Menurun",'Spek Produk'!O113,'Spek Produk'!O171)</f>
        <v>0</v>
      </c>
      <c r="P55" s="26">
        <f>IF('Simulasi Premi 1 (Personal)'!$E$38="Menurun",'Spek Produk'!P113,'Spek Produk'!P171)</f>
        <v>0</v>
      </c>
      <c r="Q55" s="26">
        <f>IF('Simulasi Premi 1 (Personal)'!$E$38="Menurun",'Spek Produk'!Q113,'Spek Produk'!Q171)</f>
        <v>0</v>
      </c>
      <c r="R55" s="26">
        <f>IF('Simulasi Premi 1 (Personal)'!$E$38="Menurun",'Spek Produk'!R113,'Spek Produk'!R171)</f>
        <v>0</v>
      </c>
      <c r="S55" s="26">
        <f>IF('Simulasi Premi 1 (Personal)'!$E$38="Menurun",'Spek Produk'!S113,'Spek Produk'!S171)</f>
        <v>0</v>
      </c>
      <c r="T55" s="26">
        <f>IF('Simulasi Premi 1 (Personal)'!$E$38="Menurun",'Spek Produk'!T113,'Spek Produk'!T171)</f>
        <v>0</v>
      </c>
      <c r="U55" s="26">
        <f>IF('Simulasi Premi 1 (Personal)'!$E$38="Menurun",'Spek Produk'!U113,'Spek Produk'!U171)</f>
        <v>0</v>
      </c>
      <c r="V55" s="26">
        <f>IF('Simulasi Premi 1 (Personal)'!$E$38="Menurun",'Spek Produk'!V113,'Spek Produk'!V171)</f>
        <v>0</v>
      </c>
      <c r="W55" s="26">
        <f>IF('Simulasi Premi 1 (Personal)'!$E$38="Menurun",'Spek Produk'!W113,'Spek Produk'!W171)</f>
        <v>0</v>
      </c>
      <c r="X55" s="26">
        <f>IF('Simulasi Premi 1 (Personal)'!$E$38="Menurun",'Spek Produk'!X113,'Spek Produk'!X171)</f>
        <v>0</v>
      </c>
      <c r="Y55" s="26">
        <f>IF('Simulasi Premi 1 (Personal)'!$E$38="Menurun",'Spek Produk'!Y113,'Spek Produk'!Y171)</f>
        <v>0</v>
      </c>
      <c r="Z55" s="26">
        <f>IF('Simulasi Premi 1 (Personal)'!$E$38="Menurun",'Spek Produk'!Z113,'Spek Produk'!Z171)</f>
        <v>0</v>
      </c>
      <c r="AA55" s="26">
        <f>IF('Simulasi Premi 1 (Personal)'!$E$38="Menurun",'Spek Produk'!AA113,'Spek Produk'!AA171)</f>
        <v>0</v>
      </c>
      <c r="AB55" s="26">
        <f>IF('Simulasi Premi 1 (Personal)'!$E$38="Menurun",'Spek Produk'!AB113,'Spek Produk'!AB171)</f>
        <v>0</v>
      </c>
      <c r="AC55" s="26">
        <f>IF('Simulasi Premi 1 (Personal)'!$E$38="Menurun",'Spek Produk'!AC113,'Spek Produk'!AC171)</f>
        <v>0</v>
      </c>
      <c r="AD55" s="26">
        <f>IF('Simulasi Premi 1 (Personal)'!$E$38="Menurun",'Spek Produk'!AD113,'Spek Produk'!AD171)</f>
        <v>0</v>
      </c>
      <c r="AE55" s="26">
        <f>IF('Simulasi Premi 1 (Personal)'!$E$38="Menurun",'Spek Produk'!AE113,'Spek Produk'!AE171)</f>
        <v>0</v>
      </c>
      <c r="AF55" s="26">
        <f>IF('Simulasi Premi 1 (Personal)'!$E$38="Menurun",'Spek Produk'!AF113,'Spek Produk'!AF171)</f>
        <v>0</v>
      </c>
      <c r="AG55" s="26">
        <f>IF('Simulasi Premi 1 (Personal)'!$E$38="Menurun",'Spek Produk'!AG113,'Spek Produk'!AG171)</f>
        <v>0</v>
      </c>
      <c r="AH55" s="26">
        <f>IF('Simulasi Premi 1 (Personal)'!$E$38="Menurun",'Spek Produk'!AH113,'Spek Produk'!AH171)</f>
        <v>0</v>
      </c>
      <c r="AI55" s="26">
        <f>IF('Simulasi Premi 1 (Personal)'!$E$38="Menurun",'Spek Produk'!AI113,'Spek Produk'!AI171)</f>
        <v>0</v>
      </c>
      <c r="AJ55" s="26">
        <f>IF('Simulasi Premi 1 (Personal)'!$E$38="Menurun",'Spek Produk'!AJ113,'Spek Produk'!AJ171)</f>
        <v>0</v>
      </c>
      <c r="AK55" s="26">
        <f>IF('Simulasi Premi 1 (Personal)'!$E$38="Menurun",'Spek Produk'!AK113,'Spek Produk'!AK171)</f>
        <v>0</v>
      </c>
      <c r="AL55" s="26">
        <f>IF('Simulasi Premi 1 (Personal)'!$E$38="Menurun",'Spek Produk'!AL113,'Spek Produk'!AL171)</f>
        <v>0</v>
      </c>
      <c r="AM55" s="26">
        <f>IF('Simulasi Premi 1 (Personal)'!$E$38="Menurun",'Spek Produk'!AM113,'Spek Produk'!AM171)</f>
        <v>0</v>
      </c>
      <c r="AN55" s="26">
        <f>IF('Simulasi Premi 1 (Personal)'!$E$38="Menurun",'Spek Produk'!AN113,'Spek Produk'!AN171)</f>
        <v>0</v>
      </c>
      <c r="AO55" s="26">
        <f>IF('Simulasi Premi 1 (Personal)'!$E$38="Menurun",'Spek Produk'!AO113,'Spek Produk'!AO171)</f>
        <v>0</v>
      </c>
      <c r="AP55" s="26">
        <f>IF('Simulasi Premi 1 (Personal)'!$E$38="Menurun",'Spek Produk'!AP113,'Spek Produk'!AP171)</f>
        <v>0</v>
      </c>
    </row>
    <row r="56" spans="11:42" x14ac:dyDescent="0.35">
      <c r="L56" s="24" t="str">
        <f t="shared" si="0"/>
        <v/>
      </c>
      <c r="M56" s="26">
        <f>IF('Simulasi Premi 1 (Personal)'!$E$38="Menurun",'Spek Produk'!M114,'Spek Produk'!M172)</f>
        <v>0</v>
      </c>
      <c r="N56" s="26">
        <f>IF('Simulasi Premi 1 (Personal)'!$E$38="Menurun",'Spek Produk'!N114,'Spek Produk'!N172)</f>
        <v>0</v>
      </c>
      <c r="O56" s="26">
        <f>IF('Simulasi Premi 1 (Personal)'!$E$38="Menurun",'Spek Produk'!O114,'Spek Produk'!O172)</f>
        <v>0</v>
      </c>
      <c r="P56" s="26">
        <f>IF('Simulasi Premi 1 (Personal)'!$E$38="Menurun",'Spek Produk'!P114,'Spek Produk'!P172)</f>
        <v>0</v>
      </c>
      <c r="Q56" s="26">
        <f>IF('Simulasi Premi 1 (Personal)'!$E$38="Menurun",'Spek Produk'!Q114,'Spek Produk'!Q172)</f>
        <v>0</v>
      </c>
      <c r="R56" s="26">
        <f>IF('Simulasi Premi 1 (Personal)'!$E$38="Menurun",'Spek Produk'!R114,'Spek Produk'!R172)</f>
        <v>0</v>
      </c>
      <c r="S56" s="26">
        <f>IF('Simulasi Premi 1 (Personal)'!$E$38="Menurun",'Spek Produk'!S114,'Spek Produk'!S172)</f>
        <v>0</v>
      </c>
      <c r="T56" s="26">
        <f>IF('Simulasi Premi 1 (Personal)'!$E$38="Menurun",'Spek Produk'!T114,'Spek Produk'!T172)</f>
        <v>0</v>
      </c>
      <c r="U56" s="26">
        <f>IF('Simulasi Premi 1 (Personal)'!$E$38="Menurun",'Spek Produk'!U114,'Spek Produk'!U172)</f>
        <v>0</v>
      </c>
      <c r="V56" s="26">
        <f>IF('Simulasi Premi 1 (Personal)'!$E$38="Menurun",'Spek Produk'!V114,'Spek Produk'!V172)</f>
        <v>0</v>
      </c>
      <c r="W56" s="26">
        <f>IF('Simulasi Premi 1 (Personal)'!$E$38="Menurun",'Spek Produk'!W114,'Spek Produk'!W172)</f>
        <v>0</v>
      </c>
      <c r="X56" s="26">
        <f>IF('Simulasi Premi 1 (Personal)'!$E$38="Menurun",'Spek Produk'!X114,'Spek Produk'!X172)</f>
        <v>0</v>
      </c>
      <c r="Y56" s="26">
        <f>IF('Simulasi Premi 1 (Personal)'!$E$38="Menurun",'Spek Produk'!Y114,'Spek Produk'!Y172)</f>
        <v>0</v>
      </c>
      <c r="Z56" s="26">
        <f>IF('Simulasi Premi 1 (Personal)'!$E$38="Menurun",'Spek Produk'!Z114,'Spek Produk'!Z172)</f>
        <v>0</v>
      </c>
      <c r="AA56" s="26">
        <f>IF('Simulasi Premi 1 (Personal)'!$E$38="Menurun",'Spek Produk'!AA114,'Spek Produk'!AA172)</f>
        <v>0</v>
      </c>
      <c r="AB56" s="26">
        <f>IF('Simulasi Premi 1 (Personal)'!$E$38="Menurun",'Spek Produk'!AB114,'Spek Produk'!AB172)</f>
        <v>0</v>
      </c>
      <c r="AC56" s="26">
        <f>IF('Simulasi Premi 1 (Personal)'!$E$38="Menurun",'Spek Produk'!AC114,'Spek Produk'!AC172)</f>
        <v>0</v>
      </c>
      <c r="AD56" s="26">
        <f>IF('Simulasi Premi 1 (Personal)'!$E$38="Menurun",'Spek Produk'!AD114,'Spek Produk'!AD172)</f>
        <v>0</v>
      </c>
      <c r="AE56" s="26">
        <f>IF('Simulasi Premi 1 (Personal)'!$E$38="Menurun",'Spek Produk'!AE114,'Spek Produk'!AE172)</f>
        <v>0</v>
      </c>
      <c r="AF56" s="26">
        <f>IF('Simulasi Premi 1 (Personal)'!$E$38="Menurun",'Spek Produk'!AF114,'Spek Produk'!AF172)</f>
        <v>0</v>
      </c>
      <c r="AG56" s="26">
        <f>IF('Simulasi Premi 1 (Personal)'!$E$38="Menurun",'Spek Produk'!AG114,'Spek Produk'!AG172)</f>
        <v>0</v>
      </c>
      <c r="AH56" s="26">
        <f>IF('Simulasi Premi 1 (Personal)'!$E$38="Menurun",'Spek Produk'!AH114,'Spek Produk'!AH172)</f>
        <v>0</v>
      </c>
      <c r="AI56" s="26">
        <f>IF('Simulasi Premi 1 (Personal)'!$E$38="Menurun",'Spek Produk'!AI114,'Spek Produk'!AI172)</f>
        <v>0</v>
      </c>
      <c r="AJ56" s="26">
        <f>IF('Simulasi Premi 1 (Personal)'!$E$38="Menurun",'Spek Produk'!AJ114,'Spek Produk'!AJ172)</f>
        <v>0</v>
      </c>
      <c r="AK56" s="26">
        <f>IF('Simulasi Premi 1 (Personal)'!$E$38="Menurun",'Spek Produk'!AK114,'Spek Produk'!AK172)</f>
        <v>0</v>
      </c>
      <c r="AL56" s="26">
        <f>IF('Simulasi Premi 1 (Personal)'!$E$38="Menurun",'Spek Produk'!AL114,'Spek Produk'!AL172)</f>
        <v>0</v>
      </c>
      <c r="AM56" s="26">
        <f>IF('Simulasi Premi 1 (Personal)'!$E$38="Menurun",'Spek Produk'!AM114,'Spek Produk'!AM172)</f>
        <v>0</v>
      </c>
      <c r="AN56" s="26">
        <f>IF('Simulasi Premi 1 (Personal)'!$E$38="Menurun",'Spek Produk'!AN114,'Spek Produk'!AN172)</f>
        <v>0</v>
      </c>
      <c r="AO56" s="26">
        <f>IF('Simulasi Premi 1 (Personal)'!$E$38="Menurun",'Spek Produk'!AO114,'Spek Produk'!AO172)</f>
        <v>0</v>
      </c>
      <c r="AP56" s="26">
        <f>IF('Simulasi Premi 1 (Personal)'!$E$38="Menurun",'Spek Produk'!AP114,'Spek Produk'!AP172)</f>
        <v>0</v>
      </c>
    </row>
    <row r="57" spans="11:42" x14ac:dyDescent="0.35">
      <c r="L57" s="24" t="str">
        <f t="shared" si="0"/>
        <v/>
      </c>
      <c r="M57" s="26">
        <f>IF('Simulasi Premi 1 (Personal)'!$E$38="Menurun",'Spek Produk'!M115,'Spek Produk'!M173)</f>
        <v>0</v>
      </c>
      <c r="N57" s="26">
        <f>IF('Simulasi Premi 1 (Personal)'!$E$38="Menurun",'Spek Produk'!N115,'Spek Produk'!N173)</f>
        <v>0</v>
      </c>
      <c r="O57" s="26">
        <f>IF('Simulasi Premi 1 (Personal)'!$E$38="Menurun",'Spek Produk'!O115,'Spek Produk'!O173)</f>
        <v>0</v>
      </c>
      <c r="P57" s="26">
        <f>IF('Simulasi Premi 1 (Personal)'!$E$38="Menurun",'Spek Produk'!P115,'Spek Produk'!P173)</f>
        <v>0</v>
      </c>
      <c r="Q57" s="26">
        <f>IF('Simulasi Premi 1 (Personal)'!$E$38="Menurun",'Spek Produk'!Q115,'Spek Produk'!Q173)</f>
        <v>0</v>
      </c>
      <c r="R57" s="26">
        <f>IF('Simulasi Premi 1 (Personal)'!$E$38="Menurun",'Spek Produk'!R115,'Spek Produk'!R173)</f>
        <v>0</v>
      </c>
      <c r="S57" s="26">
        <f>IF('Simulasi Premi 1 (Personal)'!$E$38="Menurun",'Spek Produk'!S115,'Spek Produk'!S173)</f>
        <v>0</v>
      </c>
      <c r="T57" s="26">
        <f>IF('Simulasi Premi 1 (Personal)'!$E$38="Menurun",'Spek Produk'!T115,'Spek Produk'!T173)</f>
        <v>0</v>
      </c>
      <c r="U57" s="26">
        <f>IF('Simulasi Premi 1 (Personal)'!$E$38="Menurun",'Spek Produk'!U115,'Spek Produk'!U173)</f>
        <v>0</v>
      </c>
      <c r="V57" s="26">
        <f>IF('Simulasi Premi 1 (Personal)'!$E$38="Menurun",'Spek Produk'!V115,'Spek Produk'!V173)</f>
        <v>0</v>
      </c>
      <c r="W57" s="26">
        <f>IF('Simulasi Premi 1 (Personal)'!$E$38="Menurun",'Spek Produk'!W115,'Spek Produk'!W173)</f>
        <v>0</v>
      </c>
      <c r="X57" s="26">
        <f>IF('Simulasi Premi 1 (Personal)'!$E$38="Menurun",'Spek Produk'!X115,'Spek Produk'!X173)</f>
        <v>0</v>
      </c>
      <c r="Y57" s="26">
        <f>IF('Simulasi Premi 1 (Personal)'!$E$38="Menurun",'Spek Produk'!Y115,'Spek Produk'!Y173)</f>
        <v>0</v>
      </c>
      <c r="Z57" s="26">
        <f>IF('Simulasi Premi 1 (Personal)'!$E$38="Menurun",'Spek Produk'!Z115,'Spek Produk'!Z173)</f>
        <v>0</v>
      </c>
      <c r="AA57" s="26">
        <f>IF('Simulasi Premi 1 (Personal)'!$E$38="Menurun",'Spek Produk'!AA115,'Spek Produk'!AA173)</f>
        <v>0</v>
      </c>
      <c r="AB57" s="26">
        <f>IF('Simulasi Premi 1 (Personal)'!$E$38="Menurun",'Spek Produk'!AB115,'Spek Produk'!AB173)</f>
        <v>0</v>
      </c>
      <c r="AC57" s="26">
        <f>IF('Simulasi Premi 1 (Personal)'!$E$38="Menurun",'Spek Produk'!AC115,'Spek Produk'!AC173)</f>
        <v>0</v>
      </c>
      <c r="AD57" s="26">
        <f>IF('Simulasi Premi 1 (Personal)'!$E$38="Menurun",'Spek Produk'!AD115,'Spek Produk'!AD173)</f>
        <v>0</v>
      </c>
      <c r="AE57" s="26">
        <f>IF('Simulasi Premi 1 (Personal)'!$E$38="Menurun",'Spek Produk'!AE115,'Spek Produk'!AE173)</f>
        <v>0</v>
      </c>
      <c r="AF57" s="26">
        <f>IF('Simulasi Premi 1 (Personal)'!$E$38="Menurun",'Spek Produk'!AF115,'Spek Produk'!AF173)</f>
        <v>0</v>
      </c>
      <c r="AG57" s="26">
        <f>IF('Simulasi Premi 1 (Personal)'!$E$38="Menurun",'Spek Produk'!AG115,'Spek Produk'!AG173)</f>
        <v>0</v>
      </c>
      <c r="AH57" s="26">
        <f>IF('Simulasi Premi 1 (Personal)'!$E$38="Menurun",'Spek Produk'!AH115,'Spek Produk'!AH173)</f>
        <v>0</v>
      </c>
      <c r="AI57" s="26">
        <f>IF('Simulasi Premi 1 (Personal)'!$E$38="Menurun",'Spek Produk'!AI115,'Spek Produk'!AI173)</f>
        <v>0</v>
      </c>
      <c r="AJ57" s="26">
        <f>IF('Simulasi Premi 1 (Personal)'!$E$38="Menurun",'Spek Produk'!AJ115,'Spek Produk'!AJ173)</f>
        <v>0</v>
      </c>
      <c r="AK57" s="26">
        <f>IF('Simulasi Premi 1 (Personal)'!$E$38="Menurun",'Spek Produk'!AK115,'Spek Produk'!AK173)</f>
        <v>0</v>
      </c>
      <c r="AL57" s="26">
        <f>IF('Simulasi Premi 1 (Personal)'!$E$38="Menurun",'Spek Produk'!AL115,'Spek Produk'!AL173)</f>
        <v>0</v>
      </c>
      <c r="AM57" s="26">
        <f>IF('Simulasi Premi 1 (Personal)'!$E$38="Menurun",'Spek Produk'!AM115,'Spek Produk'!AM173)</f>
        <v>0</v>
      </c>
      <c r="AN57" s="26">
        <f>IF('Simulasi Premi 1 (Personal)'!$E$38="Menurun",'Spek Produk'!AN115,'Spek Produk'!AN173)</f>
        <v>0</v>
      </c>
      <c r="AO57" s="26">
        <f>IF('Simulasi Premi 1 (Personal)'!$E$38="Menurun",'Spek Produk'!AO115,'Spek Produk'!AO173)</f>
        <v>0</v>
      </c>
      <c r="AP57" s="26">
        <f>IF('Simulasi Premi 1 (Personal)'!$E$38="Menurun",'Spek Produk'!AP115,'Spek Produk'!AP173)</f>
        <v>0</v>
      </c>
    </row>
    <row r="58" spans="11:42" x14ac:dyDescent="0.35">
      <c r="L58" s="24" t="str">
        <f t="shared" si="0"/>
        <v/>
      </c>
      <c r="M58" s="26">
        <f>IF('Simulasi Premi 1 (Personal)'!$E$38="Menurun",'Spek Produk'!M116,'Spek Produk'!M174)</f>
        <v>0</v>
      </c>
      <c r="N58" s="26">
        <f>IF('Simulasi Premi 1 (Personal)'!$E$38="Menurun",'Spek Produk'!N116,'Spek Produk'!N174)</f>
        <v>0</v>
      </c>
      <c r="O58" s="26">
        <f>IF('Simulasi Premi 1 (Personal)'!$E$38="Menurun",'Spek Produk'!O116,'Spek Produk'!O174)</f>
        <v>0</v>
      </c>
      <c r="P58" s="26">
        <f>IF('Simulasi Premi 1 (Personal)'!$E$38="Menurun",'Spek Produk'!P116,'Spek Produk'!P174)</f>
        <v>0</v>
      </c>
      <c r="Q58" s="26">
        <f>IF('Simulasi Premi 1 (Personal)'!$E$38="Menurun",'Spek Produk'!Q116,'Spek Produk'!Q174)</f>
        <v>0</v>
      </c>
      <c r="R58" s="26">
        <f>IF('Simulasi Premi 1 (Personal)'!$E$38="Menurun",'Spek Produk'!R116,'Spek Produk'!R174)</f>
        <v>0</v>
      </c>
      <c r="S58" s="26">
        <f>IF('Simulasi Premi 1 (Personal)'!$E$38="Menurun",'Spek Produk'!S116,'Spek Produk'!S174)</f>
        <v>0</v>
      </c>
      <c r="T58" s="26">
        <f>IF('Simulasi Premi 1 (Personal)'!$E$38="Menurun",'Spek Produk'!T116,'Spek Produk'!T174)</f>
        <v>0</v>
      </c>
      <c r="U58" s="26">
        <f>IF('Simulasi Premi 1 (Personal)'!$E$38="Menurun",'Spek Produk'!U116,'Spek Produk'!U174)</f>
        <v>0</v>
      </c>
      <c r="V58" s="26">
        <f>IF('Simulasi Premi 1 (Personal)'!$E$38="Menurun",'Spek Produk'!V116,'Spek Produk'!V174)</f>
        <v>0</v>
      </c>
      <c r="W58" s="26">
        <f>IF('Simulasi Premi 1 (Personal)'!$E$38="Menurun",'Spek Produk'!W116,'Spek Produk'!W174)</f>
        <v>0</v>
      </c>
      <c r="X58" s="26">
        <f>IF('Simulasi Premi 1 (Personal)'!$E$38="Menurun",'Spek Produk'!X116,'Spek Produk'!X174)</f>
        <v>0</v>
      </c>
      <c r="Y58" s="26">
        <f>IF('Simulasi Premi 1 (Personal)'!$E$38="Menurun",'Spek Produk'!Y116,'Spek Produk'!Y174)</f>
        <v>0</v>
      </c>
      <c r="Z58" s="26">
        <f>IF('Simulasi Premi 1 (Personal)'!$E$38="Menurun",'Spek Produk'!Z116,'Spek Produk'!Z174)</f>
        <v>0</v>
      </c>
      <c r="AA58" s="26">
        <f>IF('Simulasi Premi 1 (Personal)'!$E$38="Menurun",'Spek Produk'!AA116,'Spek Produk'!AA174)</f>
        <v>0</v>
      </c>
      <c r="AB58" s="26">
        <f>IF('Simulasi Premi 1 (Personal)'!$E$38="Menurun",'Spek Produk'!AB116,'Spek Produk'!AB174)</f>
        <v>0</v>
      </c>
      <c r="AC58" s="26">
        <f>IF('Simulasi Premi 1 (Personal)'!$E$38="Menurun",'Spek Produk'!AC116,'Spek Produk'!AC174)</f>
        <v>0</v>
      </c>
      <c r="AD58" s="26">
        <f>IF('Simulasi Premi 1 (Personal)'!$E$38="Menurun",'Spek Produk'!AD116,'Spek Produk'!AD174)</f>
        <v>0</v>
      </c>
      <c r="AE58" s="26">
        <f>IF('Simulasi Premi 1 (Personal)'!$E$38="Menurun",'Spek Produk'!AE116,'Spek Produk'!AE174)</f>
        <v>0</v>
      </c>
      <c r="AF58" s="26">
        <f>IF('Simulasi Premi 1 (Personal)'!$E$38="Menurun",'Spek Produk'!AF116,'Spek Produk'!AF174)</f>
        <v>0</v>
      </c>
      <c r="AG58" s="26">
        <f>IF('Simulasi Premi 1 (Personal)'!$E$38="Menurun",'Spek Produk'!AG116,'Spek Produk'!AG174)</f>
        <v>0</v>
      </c>
      <c r="AH58" s="26">
        <f>IF('Simulasi Premi 1 (Personal)'!$E$38="Menurun",'Spek Produk'!AH116,'Spek Produk'!AH174)</f>
        <v>0</v>
      </c>
      <c r="AI58" s="26">
        <f>IF('Simulasi Premi 1 (Personal)'!$E$38="Menurun",'Spek Produk'!AI116,'Spek Produk'!AI174)</f>
        <v>0</v>
      </c>
      <c r="AJ58" s="26">
        <f>IF('Simulasi Premi 1 (Personal)'!$E$38="Menurun",'Spek Produk'!AJ116,'Spek Produk'!AJ174)</f>
        <v>0</v>
      </c>
      <c r="AK58" s="26">
        <f>IF('Simulasi Premi 1 (Personal)'!$E$38="Menurun",'Spek Produk'!AK116,'Spek Produk'!AK174)</f>
        <v>0</v>
      </c>
      <c r="AL58" s="26">
        <f>IF('Simulasi Premi 1 (Personal)'!$E$38="Menurun",'Spek Produk'!AL116,'Spek Produk'!AL174)</f>
        <v>0</v>
      </c>
      <c r="AM58" s="26">
        <f>IF('Simulasi Premi 1 (Personal)'!$E$38="Menurun",'Spek Produk'!AM116,'Spek Produk'!AM174)</f>
        <v>0</v>
      </c>
      <c r="AN58" s="26">
        <f>IF('Simulasi Premi 1 (Personal)'!$E$38="Menurun",'Spek Produk'!AN116,'Spek Produk'!AN174)</f>
        <v>0</v>
      </c>
      <c r="AO58" s="26">
        <f>IF('Simulasi Premi 1 (Personal)'!$E$38="Menurun",'Spek Produk'!AO116,'Spek Produk'!AO174)</f>
        <v>0</v>
      </c>
      <c r="AP58" s="26">
        <f>IF('Simulasi Premi 1 (Personal)'!$E$38="Menurun",'Spek Produk'!AP116,'Spek Produk'!AP174)</f>
        <v>0</v>
      </c>
    </row>
    <row r="60" spans="11:42" x14ac:dyDescent="0.35">
      <c r="L60" s="91" t="s">
        <v>87</v>
      </c>
    </row>
    <row r="61" spans="11:42" x14ac:dyDescent="0.35">
      <c r="K61" s="90"/>
      <c r="L61" s="134" t="s">
        <v>44</v>
      </c>
      <c r="M61" s="135" t="s">
        <v>45</v>
      </c>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row>
    <row r="62" spans="11:42" x14ac:dyDescent="0.35">
      <c r="L62" s="134"/>
      <c r="M62" s="23">
        <v>1</v>
      </c>
      <c r="N62" s="23">
        <v>2</v>
      </c>
      <c r="O62" s="23">
        <v>3</v>
      </c>
      <c r="P62" s="23">
        <v>4</v>
      </c>
      <c r="Q62" s="23">
        <v>5</v>
      </c>
      <c r="R62" s="23">
        <v>6</v>
      </c>
      <c r="S62" s="23">
        <v>7</v>
      </c>
      <c r="T62" s="23">
        <v>8</v>
      </c>
      <c r="U62" s="23">
        <v>9</v>
      </c>
      <c r="V62" s="23">
        <v>10</v>
      </c>
      <c r="W62" s="23">
        <v>11</v>
      </c>
      <c r="X62" s="23">
        <v>12</v>
      </c>
      <c r="Y62" s="23">
        <v>13</v>
      </c>
      <c r="Z62" s="23">
        <v>14</v>
      </c>
      <c r="AA62" s="23">
        <v>15</v>
      </c>
      <c r="AB62" s="23">
        <v>16</v>
      </c>
      <c r="AC62" s="23">
        <v>17</v>
      </c>
      <c r="AD62" s="23">
        <v>18</v>
      </c>
      <c r="AE62" s="23">
        <v>19</v>
      </c>
      <c r="AF62" s="23">
        <v>20</v>
      </c>
      <c r="AG62" s="23">
        <v>21</v>
      </c>
      <c r="AH62" s="23">
        <v>22</v>
      </c>
      <c r="AI62" s="23">
        <v>23</v>
      </c>
      <c r="AJ62" s="23">
        <v>24</v>
      </c>
      <c r="AK62" s="23">
        <v>25</v>
      </c>
      <c r="AL62" s="23">
        <v>26</v>
      </c>
      <c r="AM62" s="23">
        <v>27</v>
      </c>
      <c r="AN62" s="23">
        <v>28</v>
      </c>
      <c r="AO62" s="23">
        <v>29</v>
      </c>
      <c r="AP62" s="23">
        <v>30</v>
      </c>
    </row>
    <row r="63" spans="11:42" x14ac:dyDescent="0.35">
      <c r="L63" s="24" t="str">
        <f>IF(AND(ROW(K5)+12&gt;=$G$11,ROW(K5)+12&lt;=$I$11),ROW(K5)+12,"")</f>
        <v/>
      </c>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row>
    <row r="64" spans="11:42" x14ac:dyDescent="0.35">
      <c r="L64" s="24">
        <v>18</v>
      </c>
      <c r="M64" s="94"/>
      <c r="N64" s="94"/>
      <c r="O64" s="94"/>
      <c r="P64" s="94"/>
      <c r="Q64" s="94"/>
      <c r="R64" s="94"/>
      <c r="S64" s="94"/>
      <c r="T64" s="94"/>
      <c r="U64" s="94"/>
      <c r="V64" s="94"/>
      <c r="W64" s="94"/>
      <c r="X64" s="94"/>
      <c r="Y64" s="94"/>
      <c r="Z64" s="94"/>
      <c r="AA64" s="94"/>
      <c r="AB64" s="103"/>
      <c r="AC64" s="103"/>
      <c r="AD64" s="103"/>
      <c r="AE64" s="103"/>
      <c r="AF64" s="103"/>
      <c r="AG64" s="25"/>
      <c r="AH64" s="25"/>
      <c r="AI64" s="25"/>
      <c r="AJ64" s="25"/>
      <c r="AK64" s="25"/>
      <c r="AL64" s="25"/>
      <c r="AM64" s="25"/>
      <c r="AN64" s="25"/>
      <c r="AO64" s="25"/>
      <c r="AP64" s="25"/>
    </row>
    <row r="65" spans="12:42" x14ac:dyDescent="0.35">
      <c r="L65" s="24">
        <v>19</v>
      </c>
      <c r="M65" s="94"/>
      <c r="N65" s="94"/>
      <c r="O65" s="94"/>
      <c r="P65" s="94"/>
      <c r="Q65" s="94"/>
      <c r="R65" s="94"/>
      <c r="S65" s="94"/>
      <c r="T65" s="94"/>
      <c r="U65" s="94"/>
      <c r="V65" s="94"/>
      <c r="W65" s="94"/>
      <c r="X65" s="94"/>
      <c r="Y65" s="94"/>
      <c r="Z65" s="94"/>
      <c r="AA65" s="94"/>
      <c r="AB65" s="103"/>
      <c r="AC65" s="103"/>
      <c r="AD65" s="103"/>
      <c r="AE65" s="103"/>
      <c r="AF65" s="103"/>
      <c r="AG65" s="25"/>
      <c r="AH65" s="25"/>
      <c r="AI65" s="25"/>
      <c r="AJ65" s="25"/>
      <c r="AK65" s="25"/>
      <c r="AL65" s="25"/>
      <c r="AM65" s="25"/>
      <c r="AN65" s="25"/>
      <c r="AO65" s="25"/>
      <c r="AP65" s="25"/>
    </row>
    <row r="66" spans="12:42" x14ac:dyDescent="0.35">
      <c r="L66" s="24">
        <v>20</v>
      </c>
      <c r="M66" s="94">
        <v>6.85</v>
      </c>
      <c r="N66" s="94">
        <v>11.62</v>
      </c>
      <c r="O66" s="94">
        <v>16.77</v>
      </c>
      <c r="P66" s="94">
        <v>22.28</v>
      </c>
      <c r="Q66" s="94">
        <v>28.12</v>
      </c>
      <c r="R66" s="94">
        <v>34.26</v>
      </c>
      <c r="S66" s="94">
        <v>40.68</v>
      </c>
      <c r="T66" s="94">
        <v>47.4</v>
      </c>
      <c r="U66" s="94">
        <v>54.4</v>
      </c>
      <c r="V66" s="94">
        <v>61.68</v>
      </c>
      <c r="W66" s="94">
        <v>66.66</v>
      </c>
      <c r="X66" s="94">
        <v>71.64</v>
      </c>
      <c r="Y66" s="94">
        <v>76.62</v>
      </c>
      <c r="Z66" s="94">
        <v>81.599999999999994</v>
      </c>
      <c r="AA66" s="94">
        <v>86.57</v>
      </c>
      <c r="AB66" s="103">
        <v>90.23</v>
      </c>
      <c r="AC66" s="103">
        <v>93.89</v>
      </c>
      <c r="AD66" s="103">
        <v>97.55</v>
      </c>
      <c r="AE66" s="103">
        <v>101.21</v>
      </c>
      <c r="AF66" s="103">
        <v>104.89</v>
      </c>
      <c r="AG66" s="25"/>
      <c r="AH66" s="25"/>
      <c r="AI66" s="25"/>
      <c r="AJ66" s="25"/>
      <c r="AK66" s="25"/>
      <c r="AL66" s="25"/>
      <c r="AM66" s="25"/>
      <c r="AN66" s="25"/>
      <c r="AO66" s="25"/>
      <c r="AP66" s="25"/>
    </row>
    <row r="67" spans="12:42" x14ac:dyDescent="0.35">
      <c r="L67" s="24">
        <v>21</v>
      </c>
      <c r="M67" s="94">
        <v>6.85</v>
      </c>
      <c r="N67" s="94">
        <v>11.62</v>
      </c>
      <c r="O67" s="94">
        <v>16.77</v>
      </c>
      <c r="P67" s="94">
        <v>22.28</v>
      </c>
      <c r="Q67" s="94">
        <v>28.12</v>
      </c>
      <c r="R67" s="94">
        <v>34.26</v>
      </c>
      <c r="S67" s="94">
        <v>40.68</v>
      </c>
      <c r="T67" s="94">
        <v>47.4</v>
      </c>
      <c r="U67" s="94">
        <v>54.4</v>
      </c>
      <c r="V67" s="94">
        <v>61.68</v>
      </c>
      <c r="W67" s="94">
        <v>66.66</v>
      </c>
      <c r="X67" s="94">
        <v>71.64</v>
      </c>
      <c r="Y67" s="94">
        <v>76.62</v>
      </c>
      <c r="Z67" s="94">
        <v>81.599999999999994</v>
      </c>
      <c r="AA67" s="94">
        <v>86.57</v>
      </c>
      <c r="AB67" s="103">
        <v>90.23</v>
      </c>
      <c r="AC67" s="103">
        <v>93.89</v>
      </c>
      <c r="AD67" s="103">
        <v>97.55</v>
      </c>
      <c r="AE67" s="103">
        <v>101.21</v>
      </c>
      <c r="AF67" s="103">
        <v>104.89</v>
      </c>
      <c r="AG67" s="25"/>
      <c r="AH67" s="25"/>
      <c r="AI67" s="25"/>
      <c r="AJ67" s="25"/>
      <c r="AK67" s="25"/>
      <c r="AL67" s="25"/>
      <c r="AM67" s="25"/>
      <c r="AN67" s="25"/>
      <c r="AO67" s="25"/>
      <c r="AP67" s="25"/>
    </row>
    <row r="68" spans="12:42" x14ac:dyDescent="0.35">
      <c r="L68" s="24">
        <v>22</v>
      </c>
      <c r="M68" s="94">
        <v>6.85</v>
      </c>
      <c r="N68" s="94">
        <v>11.62</v>
      </c>
      <c r="O68" s="94">
        <v>16.77</v>
      </c>
      <c r="P68" s="94">
        <v>22.28</v>
      </c>
      <c r="Q68" s="94">
        <v>28.12</v>
      </c>
      <c r="R68" s="94">
        <v>34.26</v>
      </c>
      <c r="S68" s="94">
        <v>40.68</v>
      </c>
      <c r="T68" s="94">
        <v>47.4</v>
      </c>
      <c r="U68" s="94">
        <v>54.4</v>
      </c>
      <c r="V68" s="94">
        <v>61.68</v>
      </c>
      <c r="W68" s="94">
        <v>66.66</v>
      </c>
      <c r="X68" s="94">
        <v>71.64</v>
      </c>
      <c r="Y68" s="94">
        <v>76.62</v>
      </c>
      <c r="Z68" s="94">
        <v>81.599999999999994</v>
      </c>
      <c r="AA68" s="94">
        <v>86.57</v>
      </c>
      <c r="AB68" s="103">
        <v>90.23</v>
      </c>
      <c r="AC68" s="103">
        <v>93.89</v>
      </c>
      <c r="AD68" s="103">
        <v>97.55</v>
      </c>
      <c r="AE68" s="103">
        <v>101.21</v>
      </c>
      <c r="AF68" s="103">
        <v>104.89</v>
      </c>
      <c r="AG68" s="25"/>
      <c r="AH68" s="25"/>
      <c r="AI68" s="25"/>
      <c r="AJ68" s="25"/>
      <c r="AK68" s="25"/>
      <c r="AL68" s="25"/>
      <c r="AM68" s="25"/>
      <c r="AN68" s="25"/>
      <c r="AO68" s="25"/>
      <c r="AP68" s="25"/>
    </row>
    <row r="69" spans="12:42" x14ac:dyDescent="0.35">
      <c r="L69" s="24">
        <v>23</v>
      </c>
      <c r="M69" s="94">
        <v>6.85</v>
      </c>
      <c r="N69" s="94">
        <v>11.62</v>
      </c>
      <c r="O69" s="94">
        <v>16.77</v>
      </c>
      <c r="P69" s="94">
        <v>22.28</v>
      </c>
      <c r="Q69" s="94">
        <v>28.12</v>
      </c>
      <c r="R69" s="94">
        <v>34.26</v>
      </c>
      <c r="S69" s="94">
        <v>40.68</v>
      </c>
      <c r="T69" s="94">
        <v>47.4</v>
      </c>
      <c r="U69" s="94">
        <v>54.4</v>
      </c>
      <c r="V69" s="94">
        <v>61.68</v>
      </c>
      <c r="W69" s="94">
        <v>66.66</v>
      </c>
      <c r="X69" s="94">
        <v>71.64</v>
      </c>
      <c r="Y69" s="94">
        <v>76.62</v>
      </c>
      <c r="Z69" s="94">
        <v>81.599999999999994</v>
      </c>
      <c r="AA69" s="94">
        <v>86.57</v>
      </c>
      <c r="AB69" s="103">
        <v>90.23</v>
      </c>
      <c r="AC69" s="103">
        <v>93.89</v>
      </c>
      <c r="AD69" s="103">
        <v>97.55</v>
      </c>
      <c r="AE69" s="103">
        <v>101.21</v>
      </c>
      <c r="AF69" s="103">
        <v>104.89</v>
      </c>
      <c r="AG69" s="25"/>
      <c r="AH69" s="25"/>
      <c r="AI69" s="25"/>
      <c r="AJ69" s="25"/>
      <c r="AK69" s="25"/>
      <c r="AL69" s="25"/>
      <c r="AM69" s="25"/>
      <c r="AN69" s="25"/>
      <c r="AO69" s="25"/>
      <c r="AP69" s="25"/>
    </row>
    <row r="70" spans="12:42" x14ac:dyDescent="0.35">
      <c r="L70" s="24">
        <v>24</v>
      </c>
      <c r="M70" s="94">
        <v>6.85</v>
      </c>
      <c r="N70" s="94">
        <v>11.62</v>
      </c>
      <c r="O70" s="94">
        <v>16.77</v>
      </c>
      <c r="P70" s="94">
        <v>22.28</v>
      </c>
      <c r="Q70" s="94">
        <v>28.12</v>
      </c>
      <c r="R70" s="94">
        <v>34.26</v>
      </c>
      <c r="S70" s="94">
        <v>40.68</v>
      </c>
      <c r="T70" s="94">
        <v>47.4</v>
      </c>
      <c r="U70" s="94">
        <v>54.4</v>
      </c>
      <c r="V70" s="94">
        <v>61.68</v>
      </c>
      <c r="W70" s="94">
        <v>66.66</v>
      </c>
      <c r="X70" s="94">
        <v>71.64</v>
      </c>
      <c r="Y70" s="94">
        <v>76.62</v>
      </c>
      <c r="Z70" s="94">
        <v>81.599999999999994</v>
      </c>
      <c r="AA70" s="94">
        <v>86.57</v>
      </c>
      <c r="AB70" s="103">
        <v>90.23</v>
      </c>
      <c r="AC70" s="103">
        <v>93.89</v>
      </c>
      <c r="AD70" s="103">
        <v>97.55</v>
      </c>
      <c r="AE70" s="103">
        <v>101.21</v>
      </c>
      <c r="AF70" s="103">
        <v>104.89</v>
      </c>
      <c r="AG70" s="25"/>
      <c r="AH70" s="25"/>
      <c r="AI70" s="25"/>
      <c r="AJ70" s="25"/>
      <c r="AK70" s="25"/>
      <c r="AL70" s="25"/>
      <c r="AM70" s="25"/>
      <c r="AN70" s="25"/>
      <c r="AO70" s="25"/>
      <c r="AP70" s="25"/>
    </row>
    <row r="71" spans="12:42" x14ac:dyDescent="0.35">
      <c r="L71" s="24">
        <v>25</v>
      </c>
      <c r="M71" s="94">
        <v>6.85</v>
      </c>
      <c r="N71" s="94">
        <v>11.62</v>
      </c>
      <c r="O71" s="94">
        <v>16.77</v>
      </c>
      <c r="P71" s="94">
        <v>22.28</v>
      </c>
      <c r="Q71" s="94">
        <v>28.12</v>
      </c>
      <c r="R71" s="94">
        <v>34.26</v>
      </c>
      <c r="S71" s="94">
        <v>40.68</v>
      </c>
      <c r="T71" s="94">
        <v>47.4</v>
      </c>
      <c r="U71" s="94">
        <v>54.4</v>
      </c>
      <c r="V71" s="94">
        <v>61.68</v>
      </c>
      <c r="W71" s="94">
        <v>66.66</v>
      </c>
      <c r="X71" s="94">
        <v>71.64</v>
      </c>
      <c r="Y71" s="94">
        <v>76.62</v>
      </c>
      <c r="Z71" s="94">
        <v>81.599999999999994</v>
      </c>
      <c r="AA71" s="94">
        <v>86.57</v>
      </c>
      <c r="AB71" s="103">
        <v>90.23</v>
      </c>
      <c r="AC71" s="103">
        <v>93.89</v>
      </c>
      <c r="AD71" s="103">
        <v>97.55</v>
      </c>
      <c r="AE71" s="103">
        <v>101.21</v>
      </c>
      <c r="AF71" s="103">
        <v>104.89</v>
      </c>
      <c r="AG71" s="25"/>
      <c r="AH71" s="25"/>
      <c r="AI71" s="25"/>
      <c r="AJ71" s="25"/>
      <c r="AK71" s="25"/>
      <c r="AL71" s="25"/>
      <c r="AM71" s="25"/>
      <c r="AN71" s="25"/>
      <c r="AO71" s="25"/>
      <c r="AP71" s="25"/>
    </row>
    <row r="72" spans="12:42" x14ac:dyDescent="0.35">
      <c r="L72" s="24">
        <v>26</v>
      </c>
      <c r="M72" s="94">
        <v>6.85</v>
      </c>
      <c r="N72" s="94">
        <v>11.62</v>
      </c>
      <c r="O72" s="94">
        <v>16.77</v>
      </c>
      <c r="P72" s="94">
        <v>22.28</v>
      </c>
      <c r="Q72" s="94">
        <v>28.12</v>
      </c>
      <c r="R72" s="94">
        <v>34.26</v>
      </c>
      <c r="S72" s="94">
        <v>40.68</v>
      </c>
      <c r="T72" s="94">
        <v>47.4</v>
      </c>
      <c r="U72" s="94">
        <v>54.4</v>
      </c>
      <c r="V72" s="94">
        <v>61.68</v>
      </c>
      <c r="W72" s="94">
        <v>66.66</v>
      </c>
      <c r="X72" s="94">
        <v>71.64</v>
      </c>
      <c r="Y72" s="94">
        <v>76.62</v>
      </c>
      <c r="Z72" s="94">
        <v>81.599999999999994</v>
      </c>
      <c r="AA72" s="94">
        <v>86.57</v>
      </c>
      <c r="AB72" s="103">
        <v>90.23</v>
      </c>
      <c r="AC72" s="103">
        <v>93.89</v>
      </c>
      <c r="AD72" s="103">
        <v>97.55</v>
      </c>
      <c r="AE72" s="103">
        <v>101.21</v>
      </c>
      <c r="AF72" s="103">
        <v>104.89</v>
      </c>
      <c r="AG72" s="25"/>
      <c r="AH72" s="25"/>
      <c r="AI72" s="25"/>
      <c r="AJ72" s="25"/>
      <c r="AK72" s="25"/>
      <c r="AL72" s="25"/>
      <c r="AM72" s="25"/>
      <c r="AN72" s="25"/>
      <c r="AO72" s="25"/>
      <c r="AP72" s="25"/>
    </row>
    <row r="73" spans="12:42" x14ac:dyDescent="0.35">
      <c r="L73" s="24">
        <v>27</v>
      </c>
      <c r="M73" s="94">
        <v>6.85</v>
      </c>
      <c r="N73" s="94">
        <v>11.62</v>
      </c>
      <c r="O73" s="94">
        <v>16.77</v>
      </c>
      <c r="P73" s="94">
        <v>22.28</v>
      </c>
      <c r="Q73" s="94">
        <v>28.12</v>
      </c>
      <c r="R73" s="94">
        <v>34.26</v>
      </c>
      <c r="S73" s="94">
        <v>40.68</v>
      </c>
      <c r="T73" s="94">
        <v>47.4</v>
      </c>
      <c r="U73" s="94">
        <v>54.4</v>
      </c>
      <c r="V73" s="94">
        <v>61.68</v>
      </c>
      <c r="W73" s="94">
        <v>66.66</v>
      </c>
      <c r="X73" s="94">
        <v>71.64</v>
      </c>
      <c r="Y73" s="94">
        <v>76.62</v>
      </c>
      <c r="Z73" s="94">
        <v>81.599999999999994</v>
      </c>
      <c r="AA73" s="94">
        <v>86.57</v>
      </c>
      <c r="AB73" s="103">
        <v>90.23</v>
      </c>
      <c r="AC73" s="103">
        <v>93.89</v>
      </c>
      <c r="AD73" s="103">
        <v>97.55</v>
      </c>
      <c r="AE73" s="103">
        <v>101.21</v>
      </c>
      <c r="AF73" s="103">
        <v>104.89</v>
      </c>
      <c r="AG73" s="25"/>
      <c r="AH73" s="25"/>
      <c r="AI73" s="25"/>
      <c r="AJ73" s="25"/>
      <c r="AK73" s="25"/>
      <c r="AL73" s="25"/>
      <c r="AM73" s="25"/>
      <c r="AN73" s="25"/>
      <c r="AO73" s="25"/>
      <c r="AP73" s="25"/>
    </row>
    <row r="74" spans="12:42" x14ac:dyDescent="0.35">
      <c r="L74" s="24">
        <v>28</v>
      </c>
      <c r="M74" s="94">
        <v>6.85</v>
      </c>
      <c r="N74" s="94">
        <v>11.62</v>
      </c>
      <c r="O74" s="94">
        <v>16.77</v>
      </c>
      <c r="P74" s="94">
        <v>22.28</v>
      </c>
      <c r="Q74" s="94">
        <v>28.12</v>
      </c>
      <c r="R74" s="94">
        <v>34.26</v>
      </c>
      <c r="S74" s="94">
        <v>40.68</v>
      </c>
      <c r="T74" s="94">
        <v>47.4</v>
      </c>
      <c r="U74" s="94">
        <v>54.4</v>
      </c>
      <c r="V74" s="94">
        <v>61.68</v>
      </c>
      <c r="W74" s="94">
        <v>66.66</v>
      </c>
      <c r="X74" s="94">
        <v>71.64</v>
      </c>
      <c r="Y74" s="94">
        <v>76.62</v>
      </c>
      <c r="Z74" s="94">
        <v>81.599999999999994</v>
      </c>
      <c r="AA74" s="94">
        <v>86.57</v>
      </c>
      <c r="AB74" s="103">
        <v>90.23</v>
      </c>
      <c r="AC74" s="103">
        <v>93.89</v>
      </c>
      <c r="AD74" s="103">
        <v>97.55</v>
      </c>
      <c r="AE74" s="103">
        <v>101.21</v>
      </c>
      <c r="AF74" s="103">
        <v>104.89</v>
      </c>
      <c r="AG74" s="25"/>
      <c r="AH74" s="25"/>
      <c r="AI74" s="25"/>
      <c r="AJ74" s="25"/>
      <c r="AK74" s="25"/>
      <c r="AL74" s="25"/>
      <c r="AM74" s="25"/>
      <c r="AN74" s="25"/>
      <c r="AO74" s="25"/>
      <c r="AP74" s="25"/>
    </row>
    <row r="75" spans="12:42" x14ac:dyDescent="0.35">
      <c r="L75" s="24">
        <v>29</v>
      </c>
      <c r="M75" s="94">
        <v>6.85</v>
      </c>
      <c r="N75" s="94">
        <v>11.62</v>
      </c>
      <c r="O75" s="94">
        <v>16.77</v>
      </c>
      <c r="P75" s="94">
        <v>22.28</v>
      </c>
      <c r="Q75" s="94">
        <v>28.12</v>
      </c>
      <c r="R75" s="94">
        <v>34.26</v>
      </c>
      <c r="S75" s="94">
        <v>40.68</v>
      </c>
      <c r="T75" s="94">
        <v>47.4</v>
      </c>
      <c r="U75" s="94">
        <v>54.4</v>
      </c>
      <c r="V75" s="94">
        <v>61.68</v>
      </c>
      <c r="W75" s="94">
        <v>66.66</v>
      </c>
      <c r="X75" s="94">
        <v>71.64</v>
      </c>
      <c r="Y75" s="94">
        <v>76.62</v>
      </c>
      <c r="Z75" s="94">
        <v>81.599999999999994</v>
      </c>
      <c r="AA75" s="94">
        <v>86.57</v>
      </c>
      <c r="AB75" s="103">
        <v>90.23</v>
      </c>
      <c r="AC75" s="103">
        <v>93.89</v>
      </c>
      <c r="AD75" s="103">
        <v>97.55</v>
      </c>
      <c r="AE75" s="103">
        <v>101.21</v>
      </c>
      <c r="AF75" s="103">
        <v>104.89</v>
      </c>
      <c r="AG75" s="25"/>
      <c r="AH75" s="25"/>
      <c r="AI75" s="25"/>
      <c r="AJ75" s="25"/>
      <c r="AK75" s="25"/>
      <c r="AL75" s="25"/>
      <c r="AM75" s="25"/>
      <c r="AN75" s="25"/>
      <c r="AO75" s="25"/>
      <c r="AP75" s="25"/>
    </row>
    <row r="76" spans="12:42" x14ac:dyDescent="0.35">
      <c r="L76" s="24">
        <v>30</v>
      </c>
      <c r="M76" s="94">
        <v>6.85</v>
      </c>
      <c r="N76" s="94">
        <v>11.62</v>
      </c>
      <c r="O76" s="94">
        <v>16.77</v>
      </c>
      <c r="P76" s="94">
        <v>22.28</v>
      </c>
      <c r="Q76" s="94">
        <v>28.12</v>
      </c>
      <c r="R76" s="94">
        <v>34.26</v>
      </c>
      <c r="S76" s="94">
        <v>40.68</v>
      </c>
      <c r="T76" s="94">
        <v>47.4</v>
      </c>
      <c r="U76" s="94">
        <v>54.4</v>
      </c>
      <c r="V76" s="94">
        <v>61.68</v>
      </c>
      <c r="W76" s="94">
        <v>66.66</v>
      </c>
      <c r="X76" s="94">
        <v>71.64</v>
      </c>
      <c r="Y76" s="94">
        <v>76.62</v>
      </c>
      <c r="Z76" s="94">
        <v>81.599999999999994</v>
      </c>
      <c r="AA76" s="94">
        <v>86.57</v>
      </c>
      <c r="AB76" s="103">
        <v>90.23</v>
      </c>
      <c r="AC76" s="103">
        <v>93.89</v>
      </c>
      <c r="AD76" s="103">
        <v>97.55</v>
      </c>
      <c r="AE76" s="103">
        <v>101.21</v>
      </c>
      <c r="AF76" s="103">
        <v>104.89</v>
      </c>
      <c r="AG76" s="25"/>
      <c r="AH76" s="25"/>
      <c r="AI76" s="25"/>
      <c r="AJ76" s="25"/>
      <c r="AK76" s="25"/>
      <c r="AL76" s="25"/>
      <c r="AM76" s="25"/>
      <c r="AN76" s="25"/>
      <c r="AO76" s="25"/>
      <c r="AP76" s="25"/>
    </row>
    <row r="77" spans="12:42" x14ac:dyDescent="0.35">
      <c r="L77" s="24">
        <v>31</v>
      </c>
      <c r="M77" s="94">
        <v>6.85</v>
      </c>
      <c r="N77" s="94">
        <v>11.62</v>
      </c>
      <c r="O77" s="94">
        <v>16.77</v>
      </c>
      <c r="P77" s="94">
        <v>22.28</v>
      </c>
      <c r="Q77" s="94">
        <v>28.12</v>
      </c>
      <c r="R77" s="94">
        <v>34.26</v>
      </c>
      <c r="S77" s="94">
        <v>40.68</v>
      </c>
      <c r="T77" s="94">
        <v>47.4</v>
      </c>
      <c r="U77" s="94">
        <v>54.4</v>
      </c>
      <c r="V77" s="94">
        <v>61.68</v>
      </c>
      <c r="W77" s="94">
        <v>66.66</v>
      </c>
      <c r="X77" s="94">
        <v>71.64</v>
      </c>
      <c r="Y77" s="94">
        <v>76.62</v>
      </c>
      <c r="Z77" s="94">
        <v>81.599999999999994</v>
      </c>
      <c r="AA77" s="94">
        <v>86.57</v>
      </c>
      <c r="AB77" s="103">
        <v>90.23</v>
      </c>
      <c r="AC77" s="103">
        <v>93.89</v>
      </c>
      <c r="AD77" s="103">
        <v>97.55</v>
      </c>
      <c r="AE77" s="103">
        <v>101.21</v>
      </c>
      <c r="AF77" s="103">
        <v>104.89</v>
      </c>
      <c r="AG77" s="25"/>
      <c r="AH77" s="25"/>
      <c r="AI77" s="25"/>
      <c r="AJ77" s="25"/>
      <c r="AK77" s="25"/>
      <c r="AL77" s="25"/>
      <c r="AM77" s="25"/>
      <c r="AN77" s="25"/>
      <c r="AO77" s="25"/>
      <c r="AP77" s="25"/>
    </row>
    <row r="78" spans="12:42" x14ac:dyDescent="0.35">
      <c r="L78" s="24">
        <v>32</v>
      </c>
      <c r="M78" s="94">
        <v>6.85</v>
      </c>
      <c r="N78" s="94">
        <v>11.62</v>
      </c>
      <c r="O78" s="94">
        <v>16.77</v>
      </c>
      <c r="P78" s="94">
        <v>22.28</v>
      </c>
      <c r="Q78" s="94">
        <v>28.12</v>
      </c>
      <c r="R78" s="94">
        <v>34.26</v>
      </c>
      <c r="S78" s="94">
        <v>40.68</v>
      </c>
      <c r="T78" s="94">
        <v>47.4</v>
      </c>
      <c r="U78" s="94">
        <v>54.4</v>
      </c>
      <c r="V78" s="94">
        <v>61.68</v>
      </c>
      <c r="W78" s="94">
        <v>66.66</v>
      </c>
      <c r="X78" s="94">
        <v>71.64</v>
      </c>
      <c r="Y78" s="94">
        <v>76.62</v>
      </c>
      <c r="Z78" s="94">
        <v>81.599999999999994</v>
      </c>
      <c r="AA78" s="94">
        <v>86.57</v>
      </c>
      <c r="AB78" s="103">
        <v>90.23</v>
      </c>
      <c r="AC78" s="103">
        <v>93.89</v>
      </c>
      <c r="AD78" s="103">
        <v>97.55</v>
      </c>
      <c r="AE78" s="103">
        <v>101.21</v>
      </c>
      <c r="AF78" s="103">
        <v>104.89</v>
      </c>
      <c r="AG78" s="25"/>
      <c r="AH78" s="25"/>
      <c r="AI78" s="25"/>
      <c r="AJ78" s="25"/>
      <c r="AK78" s="25"/>
      <c r="AL78" s="25"/>
      <c r="AM78" s="25"/>
      <c r="AN78" s="25"/>
      <c r="AO78" s="25"/>
      <c r="AP78" s="25"/>
    </row>
    <row r="79" spans="12:42" x14ac:dyDescent="0.35">
      <c r="L79" s="24">
        <v>33</v>
      </c>
      <c r="M79" s="94">
        <v>6.85</v>
      </c>
      <c r="N79" s="94">
        <v>11.62</v>
      </c>
      <c r="O79" s="94">
        <v>16.77</v>
      </c>
      <c r="P79" s="94">
        <v>22.28</v>
      </c>
      <c r="Q79" s="94">
        <v>28.12</v>
      </c>
      <c r="R79" s="94">
        <v>34.26</v>
      </c>
      <c r="S79" s="94">
        <v>40.68</v>
      </c>
      <c r="T79" s="94">
        <v>47.4</v>
      </c>
      <c r="U79" s="94">
        <v>54.4</v>
      </c>
      <c r="V79" s="94">
        <v>61.68</v>
      </c>
      <c r="W79" s="94">
        <v>66.66</v>
      </c>
      <c r="X79" s="94">
        <v>71.64</v>
      </c>
      <c r="Y79" s="94">
        <v>76.62</v>
      </c>
      <c r="Z79" s="94">
        <v>81.599999999999994</v>
      </c>
      <c r="AA79" s="94">
        <v>86.57</v>
      </c>
      <c r="AB79" s="103">
        <v>90.23</v>
      </c>
      <c r="AC79" s="103">
        <v>93.89</v>
      </c>
      <c r="AD79" s="103">
        <v>97.55</v>
      </c>
      <c r="AE79" s="103">
        <v>101.21</v>
      </c>
      <c r="AF79" s="103">
        <v>104.89</v>
      </c>
      <c r="AG79" s="25"/>
      <c r="AH79" s="25"/>
      <c r="AI79" s="25"/>
      <c r="AJ79" s="25"/>
      <c r="AK79" s="25"/>
      <c r="AL79" s="25"/>
      <c r="AM79" s="25"/>
      <c r="AN79" s="25"/>
      <c r="AO79" s="25"/>
      <c r="AP79" s="25"/>
    </row>
    <row r="80" spans="12:42" x14ac:dyDescent="0.35">
      <c r="L80" s="24">
        <v>34</v>
      </c>
      <c r="M80" s="94">
        <v>6.85</v>
      </c>
      <c r="N80" s="94">
        <v>11.62</v>
      </c>
      <c r="O80" s="94">
        <v>16.77</v>
      </c>
      <c r="P80" s="94">
        <v>22.28</v>
      </c>
      <c r="Q80" s="94">
        <v>28.12</v>
      </c>
      <c r="R80" s="94">
        <v>34.26</v>
      </c>
      <c r="S80" s="94">
        <v>40.68</v>
      </c>
      <c r="T80" s="94">
        <v>47.4</v>
      </c>
      <c r="U80" s="94">
        <v>54.4</v>
      </c>
      <c r="V80" s="94">
        <v>61.68</v>
      </c>
      <c r="W80" s="94">
        <v>66.66</v>
      </c>
      <c r="X80" s="94">
        <v>71.64</v>
      </c>
      <c r="Y80" s="94">
        <v>76.62</v>
      </c>
      <c r="Z80" s="94">
        <v>81.599999999999994</v>
      </c>
      <c r="AA80" s="94">
        <v>86.57</v>
      </c>
      <c r="AB80" s="103">
        <v>90.23</v>
      </c>
      <c r="AC80" s="103">
        <v>93.89</v>
      </c>
      <c r="AD80" s="103">
        <v>97.55</v>
      </c>
      <c r="AE80" s="103">
        <v>101.21</v>
      </c>
      <c r="AF80" s="103">
        <v>104.89</v>
      </c>
      <c r="AG80" s="25"/>
      <c r="AH80" s="25"/>
      <c r="AI80" s="25"/>
      <c r="AJ80" s="25"/>
      <c r="AK80" s="25"/>
      <c r="AL80" s="25"/>
      <c r="AM80" s="25"/>
      <c r="AN80" s="25"/>
      <c r="AO80" s="25"/>
      <c r="AP80" s="25"/>
    </row>
    <row r="81" spans="12:42" x14ac:dyDescent="0.35">
      <c r="L81" s="24">
        <v>35</v>
      </c>
      <c r="M81" s="94">
        <v>6.85</v>
      </c>
      <c r="N81" s="94">
        <v>11.62</v>
      </c>
      <c r="O81" s="94">
        <v>16.77</v>
      </c>
      <c r="P81" s="94">
        <v>22.28</v>
      </c>
      <c r="Q81" s="94">
        <v>28.12</v>
      </c>
      <c r="R81" s="94">
        <v>34.26</v>
      </c>
      <c r="S81" s="94">
        <v>40.68</v>
      </c>
      <c r="T81" s="94">
        <v>47.4</v>
      </c>
      <c r="U81" s="94">
        <v>54.4</v>
      </c>
      <c r="V81" s="94">
        <v>61.68</v>
      </c>
      <c r="W81" s="94">
        <v>66.66</v>
      </c>
      <c r="X81" s="94">
        <v>71.64</v>
      </c>
      <c r="Y81" s="94">
        <v>76.62</v>
      </c>
      <c r="Z81" s="94">
        <v>81.599999999999994</v>
      </c>
      <c r="AA81" s="94">
        <v>86.57</v>
      </c>
      <c r="AB81" s="103">
        <v>90.23</v>
      </c>
      <c r="AC81" s="103">
        <v>93.89</v>
      </c>
      <c r="AD81" s="103">
        <v>97.55</v>
      </c>
      <c r="AE81" s="103">
        <v>101.21</v>
      </c>
      <c r="AF81" s="103">
        <v>104.89</v>
      </c>
      <c r="AG81" s="25"/>
      <c r="AH81" s="25"/>
      <c r="AI81" s="25"/>
      <c r="AJ81" s="25"/>
      <c r="AK81" s="25"/>
      <c r="AL81" s="25"/>
      <c r="AM81" s="25"/>
      <c r="AN81" s="25"/>
      <c r="AO81" s="25"/>
      <c r="AP81" s="25"/>
    </row>
    <row r="82" spans="12:42" x14ac:dyDescent="0.35">
      <c r="L82" s="24">
        <v>36</v>
      </c>
      <c r="M82" s="94">
        <v>6.85</v>
      </c>
      <c r="N82" s="94">
        <v>11.62</v>
      </c>
      <c r="O82" s="94">
        <v>16.77</v>
      </c>
      <c r="P82" s="94">
        <v>22.28</v>
      </c>
      <c r="Q82" s="94">
        <v>28.12</v>
      </c>
      <c r="R82" s="94">
        <v>34.26</v>
      </c>
      <c r="S82" s="94">
        <v>40.68</v>
      </c>
      <c r="T82" s="94">
        <v>47.4</v>
      </c>
      <c r="U82" s="94">
        <v>54.4</v>
      </c>
      <c r="V82" s="94">
        <v>61.68</v>
      </c>
      <c r="W82" s="94">
        <v>66.66</v>
      </c>
      <c r="X82" s="94">
        <v>71.64</v>
      </c>
      <c r="Y82" s="94">
        <v>76.62</v>
      </c>
      <c r="Z82" s="94">
        <v>81.599999999999994</v>
      </c>
      <c r="AA82" s="94">
        <v>86.57</v>
      </c>
      <c r="AB82" s="103">
        <v>90.23</v>
      </c>
      <c r="AC82" s="103">
        <v>93.89</v>
      </c>
      <c r="AD82" s="103">
        <v>97.55</v>
      </c>
      <c r="AE82" s="103">
        <v>101.21</v>
      </c>
      <c r="AF82" s="103">
        <v>104.89</v>
      </c>
      <c r="AG82" s="25"/>
      <c r="AH82" s="25"/>
      <c r="AI82" s="25"/>
      <c r="AJ82" s="25"/>
      <c r="AK82" s="25"/>
      <c r="AL82" s="25"/>
      <c r="AM82" s="25"/>
      <c r="AN82" s="25"/>
      <c r="AO82" s="25"/>
      <c r="AP82" s="25"/>
    </row>
    <row r="83" spans="12:42" x14ac:dyDescent="0.35">
      <c r="L83" s="24">
        <v>37</v>
      </c>
      <c r="M83" s="94">
        <v>6.85</v>
      </c>
      <c r="N83" s="94">
        <v>11.62</v>
      </c>
      <c r="O83" s="94">
        <v>16.77</v>
      </c>
      <c r="P83" s="94">
        <v>22.28</v>
      </c>
      <c r="Q83" s="94">
        <v>28.12</v>
      </c>
      <c r="R83" s="94">
        <v>34.26</v>
      </c>
      <c r="S83" s="94">
        <v>40.68</v>
      </c>
      <c r="T83" s="94">
        <v>47.4</v>
      </c>
      <c r="U83" s="94">
        <v>54.4</v>
      </c>
      <c r="V83" s="94">
        <v>61.68</v>
      </c>
      <c r="W83" s="94">
        <v>66.66</v>
      </c>
      <c r="X83" s="94">
        <v>71.64</v>
      </c>
      <c r="Y83" s="94">
        <v>76.62</v>
      </c>
      <c r="Z83" s="94">
        <v>81.599999999999994</v>
      </c>
      <c r="AA83" s="94">
        <v>86.57</v>
      </c>
      <c r="AB83" s="103">
        <v>90.23</v>
      </c>
      <c r="AC83" s="103">
        <v>93.89</v>
      </c>
      <c r="AD83" s="103">
        <v>97.55</v>
      </c>
      <c r="AE83" s="103">
        <v>101.21</v>
      </c>
      <c r="AF83" s="103">
        <v>104.89</v>
      </c>
      <c r="AG83" s="25"/>
      <c r="AH83" s="25"/>
      <c r="AI83" s="25"/>
      <c r="AJ83" s="25"/>
      <c r="AK83" s="25"/>
      <c r="AL83" s="25"/>
      <c r="AM83" s="25"/>
      <c r="AN83" s="25"/>
      <c r="AO83" s="25"/>
      <c r="AP83" s="25"/>
    </row>
    <row r="84" spans="12:42" x14ac:dyDescent="0.35">
      <c r="L84" s="24">
        <v>38</v>
      </c>
      <c r="M84" s="94">
        <v>6.85</v>
      </c>
      <c r="N84" s="94">
        <v>11.62</v>
      </c>
      <c r="O84" s="94">
        <v>16.77</v>
      </c>
      <c r="P84" s="94">
        <v>22.28</v>
      </c>
      <c r="Q84" s="94">
        <v>28.12</v>
      </c>
      <c r="R84" s="94">
        <v>34.26</v>
      </c>
      <c r="S84" s="94">
        <v>40.68</v>
      </c>
      <c r="T84" s="94">
        <v>47.4</v>
      </c>
      <c r="U84" s="94">
        <v>54.4</v>
      </c>
      <c r="V84" s="94">
        <v>61.68</v>
      </c>
      <c r="W84" s="94">
        <v>66.66</v>
      </c>
      <c r="X84" s="94">
        <v>71.64</v>
      </c>
      <c r="Y84" s="94">
        <v>76.62</v>
      </c>
      <c r="Z84" s="94">
        <v>81.599999999999994</v>
      </c>
      <c r="AA84" s="94">
        <v>86.57</v>
      </c>
      <c r="AB84" s="103">
        <v>90.23</v>
      </c>
      <c r="AC84" s="103">
        <v>93.89</v>
      </c>
      <c r="AD84" s="103">
        <v>97.55</v>
      </c>
      <c r="AE84" s="103">
        <v>101.21</v>
      </c>
      <c r="AF84" s="103">
        <v>104.89</v>
      </c>
      <c r="AG84" s="25"/>
      <c r="AH84" s="25"/>
      <c r="AI84" s="25"/>
      <c r="AJ84" s="25"/>
      <c r="AK84" s="25"/>
      <c r="AL84" s="25"/>
      <c r="AM84" s="25"/>
      <c r="AN84" s="25"/>
      <c r="AO84" s="25"/>
      <c r="AP84" s="25"/>
    </row>
    <row r="85" spans="12:42" x14ac:dyDescent="0.35">
      <c r="L85" s="24">
        <v>39</v>
      </c>
      <c r="M85" s="94">
        <v>6.85</v>
      </c>
      <c r="N85" s="94">
        <v>11.62</v>
      </c>
      <c r="O85" s="94">
        <v>16.77</v>
      </c>
      <c r="P85" s="94">
        <v>22.28</v>
      </c>
      <c r="Q85" s="94">
        <v>28.12</v>
      </c>
      <c r="R85" s="94">
        <v>34.26</v>
      </c>
      <c r="S85" s="94">
        <v>40.68</v>
      </c>
      <c r="T85" s="94">
        <v>47.4</v>
      </c>
      <c r="U85" s="94">
        <v>54.4</v>
      </c>
      <c r="V85" s="94">
        <v>61.68</v>
      </c>
      <c r="W85" s="94">
        <v>66.66</v>
      </c>
      <c r="X85" s="94">
        <v>71.64</v>
      </c>
      <c r="Y85" s="94">
        <v>76.62</v>
      </c>
      <c r="Z85" s="94">
        <v>81.599999999999994</v>
      </c>
      <c r="AA85" s="94">
        <v>86.57</v>
      </c>
      <c r="AB85" s="103">
        <v>90.23</v>
      </c>
      <c r="AC85" s="103">
        <v>93.89</v>
      </c>
      <c r="AD85" s="103">
        <v>97.55</v>
      </c>
      <c r="AE85" s="103">
        <v>101.21</v>
      </c>
      <c r="AF85" s="103">
        <v>104.89</v>
      </c>
      <c r="AG85" s="25"/>
      <c r="AH85" s="25"/>
      <c r="AI85" s="25"/>
      <c r="AJ85" s="25"/>
      <c r="AK85" s="25"/>
      <c r="AL85" s="25"/>
      <c r="AM85" s="25"/>
      <c r="AN85" s="25"/>
      <c r="AO85" s="25"/>
      <c r="AP85" s="25"/>
    </row>
    <row r="86" spans="12:42" x14ac:dyDescent="0.35">
      <c r="L86" s="24">
        <v>40</v>
      </c>
      <c r="M86" s="94">
        <v>6.85</v>
      </c>
      <c r="N86" s="94">
        <v>11.62</v>
      </c>
      <c r="O86" s="94">
        <v>16.77</v>
      </c>
      <c r="P86" s="94">
        <v>22.28</v>
      </c>
      <c r="Q86" s="94">
        <v>28.12</v>
      </c>
      <c r="R86" s="94">
        <v>34.26</v>
      </c>
      <c r="S86" s="94">
        <v>40.68</v>
      </c>
      <c r="T86" s="94">
        <v>47.4</v>
      </c>
      <c r="U86" s="94">
        <v>54.4</v>
      </c>
      <c r="V86" s="94">
        <v>61.68</v>
      </c>
      <c r="W86" s="94">
        <v>66.66</v>
      </c>
      <c r="X86" s="94">
        <v>71.64</v>
      </c>
      <c r="Y86" s="94">
        <v>76.62</v>
      </c>
      <c r="Z86" s="94">
        <v>81.599999999999994</v>
      </c>
      <c r="AA86" s="94">
        <v>86.57</v>
      </c>
      <c r="AB86" s="103">
        <v>90.23</v>
      </c>
      <c r="AC86" s="103">
        <v>93.89</v>
      </c>
      <c r="AD86" s="103">
        <v>97.55</v>
      </c>
      <c r="AE86" s="103">
        <v>101.21</v>
      </c>
      <c r="AF86" s="103">
        <v>104.89</v>
      </c>
      <c r="AG86" s="25"/>
      <c r="AH86" s="25"/>
      <c r="AI86" s="25"/>
      <c r="AJ86" s="25"/>
      <c r="AK86" s="25"/>
      <c r="AL86" s="25"/>
      <c r="AM86" s="25"/>
      <c r="AN86" s="25"/>
      <c r="AO86" s="25"/>
      <c r="AP86" s="25"/>
    </row>
    <row r="87" spans="12:42" x14ac:dyDescent="0.35">
      <c r="L87" s="24">
        <v>41</v>
      </c>
      <c r="M87" s="94">
        <v>6.85</v>
      </c>
      <c r="N87" s="94">
        <v>11.62</v>
      </c>
      <c r="O87" s="94">
        <v>16.77</v>
      </c>
      <c r="P87" s="94">
        <v>22.28</v>
      </c>
      <c r="Q87" s="94">
        <v>28.12</v>
      </c>
      <c r="R87" s="94">
        <v>34.26</v>
      </c>
      <c r="S87" s="94">
        <v>40.68</v>
      </c>
      <c r="T87" s="94">
        <v>47.4</v>
      </c>
      <c r="U87" s="94">
        <v>54.4</v>
      </c>
      <c r="V87" s="94">
        <v>61.68</v>
      </c>
      <c r="W87" s="94">
        <v>66.66</v>
      </c>
      <c r="X87" s="94">
        <v>71.64</v>
      </c>
      <c r="Y87" s="94">
        <v>76.62</v>
      </c>
      <c r="Z87" s="94">
        <v>81.599999999999994</v>
      </c>
      <c r="AA87" s="94">
        <v>86.57</v>
      </c>
      <c r="AB87" s="103">
        <v>90.23</v>
      </c>
      <c r="AC87" s="103">
        <v>93.89</v>
      </c>
      <c r="AD87" s="103">
        <v>97.55</v>
      </c>
      <c r="AE87" s="103">
        <v>101.21</v>
      </c>
      <c r="AF87" s="103">
        <v>104.89</v>
      </c>
      <c r="AG87" s="25"/>
      <c r="AH87" s="25"/>
      <c r="AI87" s="25"/>
      <c r="AJ87" s="25"/>
      <c r="AK87" s="25"/>
      <c r="AL87" s="25"/>
      <c r="AM87" s="25"/>
      <c r="AN87" s="25"/>
      <c r="AO87" s="25"/>
      <c r="AP87" s="25"/>
    </row>
    <row r="88" spans="12:42" x14ac:dyDescent="0.35">
      <c r="L88" s="24">
        <v>42</v>
      </c>
      <c r="M88" s="94">
        <v>6.85</v>
      </c>
      <c r="N88" s="94">
        <v>11.62</v>
      </c>
      <c r="O88" s="94">
        <v>16.77</v>
      </c>
      <c r="P88" s="94">
        <v>22.28</v>
      </c>
      <c r="Q88" s="94">
        <v>28.12</v>
      </c>
      <c r="R88" s="94">
        <v>34.26</v>
      </c>
      <c r="S88" s="94">
        <v>40.68</v>
      </c>
      <c r="T88" s="94">
        <v>47.4</v>
      </c>
      <c r="U88" s="94">
        <v>54.4</v>
      </c>
      <c r="V88" s="94">
        <v>61.68</v>
      </c>
      <c r="W88" s="94">
        <v>66.66</v>
      </c>
      <c r="X88" s="94">
        <v>71.64</v>
      </c>
      <c r="Y88" s="94">
        <v>76.62</v>
      </c>
      <c r="Z88" s="94">
        <v>81.599999999999994</v>
      </c>
      <c r="AA88" s="94">
        <v>86.57</v>
      </c>
      <c r="AB88" s="103">
        <v>90.23</v>
      </c>
      <c r="AC88" s="103">
        <v>93.89</v>
      </c>
      <c r="AD88" s="103">
        <v>97.55</v>
      </c>
      <c r="AE88" s="103">
        <v>101.21</v>
      </c>
      <c r="AF88" s="103">
        <v>104.89</v>
      </c>
      <c r="AG88" s="25"/>
      <c r="AH88" s="25"/>
      <c r="AI88" s="25"/>
      <c r="AJ88" s="25"/>
      <c r="AK88" s="25"/>
      <c r="AL88" s="25"/>
      <c r="AM88" s="25"/>
      <c r="AN88" s="25"/>
      <c r="AO88" s="25"/>
      <c r="AP88" s="25"/>
    </row>
    <row r="89" spans="12:42" x14ac:dyDescent="0.35">
      <c r="L89" s="24">
        <v>43</v>
      </c>
      <c r="M89" s="94">
        <v>6.85</v>
      </c>
      <c r="N89" s="94">
        <v>11.62</v>
      </c>
      <c r="O89" s="94">
        <v>16.77</v>
      </c>
      <c r="P89" s="94">
        <v>22.28</v>
      </c>
      <c r="Q89" s="94">
        <v>28.12</v>
      </c>
      <c r="R89" s="94">
        <v>34.26</v>
      </c>
      <c r="S89" s="94">
        <v>40.68</v>
      </c>
      <c r="T89" s="94">
        <v>47.4</v>
      </c>
      <c r="U89" s="94">
        <v>54.4</v>
      </c>
      <c r="V89" s="94">
        <v>61.68</v>
      </c>
      <c r="W89" s="94">
        <v>66.66</v>
      </c>
      <c r="X89" s="94">
        <v>71.64</v>
      </c>
      <c r="Y89" s="94">
        <v>76.62</v>
      </c>
      <c r="Z89" s="94">
        <v>81.599999999999994</v>
      </c>
      <c r="AA89" s="94">
        <v>86.57</v>
      </c>
      <c r="AB89" s="103">
        <v>90.23</v>
      </c>
      <c r="AC89" s="103">
        <v>93.89</v>
      </c>
      <c r="AD89" s="103">
        <v>97.55</v>
      </c>
      <c r="AE89" s="103">
        <v>101.21</v>
      </c>
      <c r="AF89" s="103">
        <v>104.89</v>
      </c>
      <c r="AG89" s="25"/>
      <c r="AH89" s="25"/>
      <c r="AI89" s="25"/>
      <c r="AJ89" s="25"/>
      <c r="AK89" s="25"/>
      <c r="AL89" s="25"/>
      <c r="AM89" s="25"/>
      <c r="AN89" s="25"/>
      <c r="AO89" s="25"/>
      <c r="AP89" s="25"/>
    </row>
    <row r="90" spans="12:42" x14ac:dyDescent="0.35">
      <c r="L90" s="24">
        <v>44</v>
      </c>
      <c r="M90" s="94">
        <v>6.85</v>
      </c>
      <c r="N90" s="94">
        <v>11.62</v>
      </c>
      <c r="O90" s="94">
        <v>16.77</v>
      </c>
      <c r="P90" s="94">
        <v>22.28</v>
      </c>
      <c r="Q90" s="94">
        <v>28.12</v>
      </c>
      <c r="R90" s="94">
        <v>34.26</v>
      </c>
      <c r="S90" s="94">
        <v>40.68</v>
      </c>
      <c r="T90" s="94">
        <v>47.4</v>
      </c>
      <c r="U90" s="94">
        <v>54.4</v>
      </c>
      <c r="V90" s="94">
        <v>61.68</v>
      </c>
      <c r="W90" s="94">
        <v>66.66</v>
      </c>
      <c r="X90" s="94">
        <v>71.64</v>
      </c>
      <c r="Y90" s="94">
        <v>76.62</v>
      </c>
      <c r="Z90" s="94">
        <v>81.599999999999994</v>
      </c>
      <c r="AA90" s="94">
        <v>86.57</v>
      </c>
      <c r="AB90" s="103">
        <v>90.23</v>
      </c>
      <c r="AC90" s="103">
        <v>93.89</v>
      </c>
      <c r="AD90" s="103">
        <v>97.55</v>
      </c>
      <c r="AE90" s="103">
        <v>101.21</v>
      </c>
      <c r="AF90" s="103">
        <v>104.89</v>
      </c>
      <c r="AG90" s="25"/>
      <c r="AH90" s="25"/>
      <c r="AI90" s="25"/>
      <c r="AJ90" s="25"/>
      <c r="AK90" s="25"/>
      <c r="AL90" s="25"/>
      <c r="AM90" s="25"/>
      <c r="AN90" s="25"/>
      <c r="AO90" s="25"/>
      <c r="AP90" s="25"/>
    </row>
    <row r="91" spans="12:42" x14ac:dyDescent="0.35">
      <c r="L91" s="24">
        <v>45</v>
      </c>
      <c r="M91" s="94">
        <v>6.85</v>
      </c>
      <c r="N91" s="94">
        <v>11.62</v>
      </c>
      <c r="O91" s="94">
        <v>16.77</v>
      </c>
      <c r="P91" s="94">
        <v>22.28</v>
      </c>
      <c r="Q91" s="94">
        <v>28.12</v>
      </c>
      <c r="R91" s="94">
        <v>34.26</v>
      </c>
      <c r="S91" s="94">
        <v>40.68</v>
      </c>
      <c r="T91" s="94">
        <v>47.4</v>
      </c>
      <c r="U91" s="94">
        <v>54.4</v>
      </c>
      <c r="V91" s="94">
        <v>61.68</v>
      </c>
      <c r="W91" s="94">
        <v>66.66</v>
      </c>
      <c r="X91" s="94">
        <v>71.64</v>
      </c>
      <c r="Y91" s="94">
        <v>76.62</v>
      </c>
      <c r="Z91" s="94">
        <v>81.599999999999994</v>
      </c>
      <c r="AA91" s="94">
        <v>86.57</v>
      </c>
      <c r="AB91" s="103">
        <v>90.23</v>
      </c>
      <c r="AC91" s="103">
        <v>93.89</v>
      </c>
      <c r="AD91" s="103">
        <v>97.55</v>
      </c>
      <c r="AE91" s="103">
        <v>101.21</v>
      </c>
      <c r="AF91" s="103">
        <v>104.89</v>
      </c>
      <c r="AG91" s="25"/>
      <c r="AH91" s="25"/>
      <c r="AI91" s="25"/>
      <c r="AJ91" s="25"/>
      <c r="AK91" s="25"/>
      <c r="AL91" s="25"/>
      <c r="AM91" s="25"/>
      <c r="AN91" s="25"/>
      <c r="AO91" s="25"/>
      <c r="AP91" s="25"/>
    </row>
    <row r="92" spans="12:42" x14ac:dyDescent="0.35">
      <c r="L92" s="24">
        <v>46</v>
      </c>
      <c r="M92" s="94">
        <v>6.85</v>
      </c>
      <c r="N92" s="94">
        <v>11.62</v>
      </c>
      <c r="O92" s="94">
        <v>16.77</v>
      </c>
      <c r="P92" s="94">
        <v>22.28</v>
      </c>
      <c r="Q92" s="94">
        <v>28.12</v>
      </c>
      <c r="R92" s="94">
        <v>34.26</v>
      </c>
      <c r="S92" s="94">
        <v>40.68</v>
      </c>
      <c r="T92" s="94">
        <v>47.4</v>
      </c>
      <c r="U92" s="94">
        <v>54.4</v>
      </c>
      <c r="V92" s="94">
        <v>61.68</v>
      </c>
      <c r="W92" s="94">
        <v>66.66</v>
      </c>
      <c r="X92" s="94">
        <v>71.64</v>
      </c>
      <c r="Y92" s="94">
        <v>76.62</v>
      </c>
      <c r="Z92" s="94">
        <v>81.599999999999994</v>
      </c>
      <c r="AA92" s="94">
        <v>86.57</v>
      </c>
      <c r="AB92" s="103">
        <v>90.23</v>
      </c>
      <c r="AC92" s="103">
        <v>93.89</v>
      </c>
      <c r="AD92" s="103">
        <v>97.55</v>
      </c>
      <c r="AE92" s="103">
        <v>101.21</v>
      </c>
      <c r="AF92" s="103">
        <v>104.89</v>
      </c>
      <c r="AG92" s="25"/>
      <c r="AH92" s="25"/>
      <c r="AI92" s="25"/>
      <c r="AJ92" s="25"/>
      <c r="AK92" s="25"/>
      <c r="AL92" s="25"/>
      <c r="AM92" s="25"/>
      <c r="AN92" s="25"/>
      <c r="AO92" s="25"/>
      <c r="AP92" s="25"/>
    </row>
    <row r="93" spans="12:42" x14ac:dyDescent="0.35">
      <c r="L93" s="24">
        <v>47</v>
      </c>
      <c r="M93" s="94">
        <v>6.85</v>
      </c>
      <c r="N93" s="94">
        <v>11.62</v>
      </c>
      <c r="O93" s="94">
        <v>16.77</v>
      </c>
      <c r="P93" s="94">
        <v>22.28</v>
      </c>
      <c r="Q93" s="94">
        <v>28.12</v>
      </c>
      <c r="R93" s="94">
        <v>34.26</v>
      </c>
      <c r="S93" s="94">
        <v>40.68</v>
      </c>
      <c r="T93" s="94">
        <v>47.4</v>
      </c>
      <c r="U93" s="94">
        <v>54.4</v>
      </c>
      <c r="V93" s="94">
        <v>61.68</v>
      </c>
      <c r="W93" s="94">
        <v>66.66</v>
      </c>
      <c r="X93" s="94">
        <v>71.64</v>
      </c>
      <c r="Y93" s="94">
        <v>76.62</v>
      </c>
      <c r="Z93" s="94">
        <v>81.599999999999994</v>
      </c>
      <c r="AA93" s="94">
        <v>86.57</v>
      </c>
      <c r="AB93" s="103">
        <v>90.23</v>
      </c>
      <c r="AC93" s="103">
        <v>93.89</v>
      </c>
      <c r="AD93" s="103">
        <v>97.55</v>
      </c>
      <c r="AE93" s="103">
        <v>101.21</v>
      </c>
      <c r="AF93" s="103">
        <v>104.89</v>
      </c>
      <c r="AG93" s="25"/>
      <c r="AH93" s="25"/>
      <c r="AI93" s="25"/>
      <c r="AJ93" s="25"/>
      <c r="AK93" s="25"/>
      <c r="AL93" s="25"/>
      <c r="AM93" s="25"/>
      <c r="AN93" s="25"/>
      <c r="AO93" s="25"/>
      <c r="AP93" s="25"/>
    </row>
    <row r="94" spans="12:42" x14ac:dyDescent="0.35">
      <c r="L94" s="24">
        <v>48</v>
      </c>
      <c r="M94" s="94">
        <v>6.85</v>
      </c>
      <c r="N94" s="94">
        <v>11.62</v>
      </c>
      <c r="O94" s="94">
        <v>16.77</v>
      </c>
      <c r="P94" s="94">
        <v>22.28</v>
      </c>
      <c r="Q94" s="94">
        <v>28.12</v>
      </c>
      <c r="R94" s="94">
        <v>34.26</v>
      </c>
      <c r="S94" s="94">
        <v>40.68</v>
      </c>
      <c r="T94" s="94">
        <v>47.4</v>
      </c>
      <c r="U94" s="94">
        <v>54.4</v>
      </c>
      <c r="V94" s="94">
        <v>61.68</v>
      </c>
      <c r="W94" s="94">
        <v>66.66</v>
      </c>
      <c r="X94" s="94">
        <v>71.64</v>
      </c>
      <c r="Y94" s="94">
        <v>76.62</v>
      </c>
      <c r="Z94" s="94">
        <v>81.599999999999994</v>
      </c>
      <c r="AA94" s="94">
        <v>86.57</v>
      </c>
      <c r="AB94" s="103">
        <v>90.23</v>
      </c>
      <c r="AC94" s="103">
        <v>93.89</v>
      </c>
      <c r="AD94" s="103">
        <v>97.55</v>
      </c>
      <c r="AE94" s="103">
        <v>101.21</v>
      </c>
      <c r="AF94" s="103">
        <v>104.89</v>
      </c>
      <c r="AG94" s="25"/>
      <c r="AH94" s="25"/>
      <c r="AI94" s="25"/>
      <c r="AJ94" s="25"/>
      <c r="AK94" s="25"/>
      <c r="AL94" s="25"/>
      <c r="AM94" s="25"/>
      <c r="AN94" s="25"/>
      <c r="AO94" s="25"/>
      <c r="AP94" s="25"/>
    </row>
    <row r="95" spans="12:42" x14ac:dyDescent="0.35">
      <c r="L95" s="24">
        <v>49</v>
      </c>
      <c r="M95" s="94">
        <v>6.85</v>
      </c>
      <c r="N95" s="94">
        <v>11.62</v>
      </c>
      <c r="O95" s="94">
        <v>16.77</v>
      </c>
      <c r="P95" s="94">
        <v>22.28</v>
      </c>
      <c r="Q95" s="94">
        <v>28.12</v>
      </c>
      <c r="R95" s="94">
        <v>34.26</v>
      </c>
      <c r="S95" s="94">
        <v>40.68</v>
      </c>
      <c r="T95" s="94">
        <v>47.4</v>
      </c>
      <c r="U95" s="94">
        <v>54.4</v>
      </c>
      <c r="V95" s="94">
        <v>61.68</v>
      </c>
      <c r="W95" s="94">
        <v>66.66</v>
      </c>
      <c r="X95" s="94">
        <v>71.64</v>
      </c>
      <c r="Y95" s="94">
        <v>76.62</v>
      </c>
      <c r="Z95" s="94">
        <v>81.599999999999994</v>
      </c>
      <c r="AA95" s="94">
        <v>86.57</v>
      </c>
      <c r="AB95" s="103">
        <v>90.23</v>
      </c>
      <c r="AC95" s="103">
        <v>93.89</v>
      </c>
      <c r="AD95" s="103">
        <v>97.55</v>
      </c>
      <c r="AE95" s="103">
        <v>101.21</v>
      </c>
      <c r="AF95" s="103">
        <v>104.89</v>
      </c>
      <c r="AG95" s="25"/>
      <c r="AH95" s="25"/>
      <c r="AI95" s="25"/>
      <c r="AJ95" s="25"/>
      <c r="AK95" s="25"/>
      <c r="AL95" s="25"/>
      <c r="AM95" s="25"/>
      <c r="AN95" s="25"/>
      <c r="AO95" s="25"/>
      <c r="AP95" s="25"/>
    </row>
    <row r="96" spans="12:42" x14ac:dyDescent="0.35">
      <c r="L96" s="24">
        <v>50</v>
      </c>
      <c r="M96" s="94">
        <v>6.85</v>
      </c>
      <c r="N96" s="94">
        <v>11.62</v>
      </c>
      <c r="O96" s="94">
        <v>16.77</v>
      </c>
      <c r="P96" s="94">
        <v>22.28</v>
      </c>
      <c r="Q96" s="94">
        <v>28.12</v>
      </c>
      <c r="R96" s="94">
        <v>34.26</v>
      </c>
      <c r="S96" s="94">
        <v>40.68</v>
      </c>
      <c r="T96" s="94">
        <v>47.4</v>
      </c>
      <c r="U96" s="94">
        <v>54.4</v>
      </c>
      <c r="V96" s="94">
        <v>61.68</v>
      </c>
      <c r="W96" s="94">
        <v>66.66</v>
      </c>
      <c r="X96" s="94">
        <v>71.64</v>
      </c>
      <c r="Y96" s="94">
        <v>76.62</v>
      </c>
      <c r="Z96" s="94">
        <v>81.599999999999994</v>
      </c>
      <c r="AA96" s="94">
        <v>86.57</v>
      </c>
      <c r="AB96" s="103">
        <v>90.23</v>
      </c>
      <c r="AC96" s="103">
        <v>93.89</v>
      </c>
      <c r="AD96" s="103">
        <v>97.55</v>
      </c>
      <c r="AE96" s="103">
        <v>101.21</v>
      </c>
      <c r="AF96" s="103">
        <v>104.89</v>
      </c>
      <c r="AG96" s="25"/>
      <c r="AH96" s="25"/>
      <c r="AI96" s="25"/>
      <c r="AJ96" s="25"/>
      <c r="AK96" s="25"/>
      <c r="AL96" s="25"/>
      <c r="AM96" s="25"/>
      <c r="AN96" s="25"/>
      <c r="AO96" s="25"/>
      <c r="AP96" s="25"/>
    </row>
    <row r="97" spans="12:42" x14ac:dyDescent="0.35">
      <c r="L97" s="24">
        <v>51</v>
      </c>
      <c r="M97" s="94">
        <v>6.85</v>
      </c>
      <c r="N97" s="94">
        <v>11.62</v>
      </c>
      <c r="O97" s="94">
        <v>16.77</v>
      </c>
      <c r="P97" s="94">
        <v>22.28</v>
      </c>
      <c r="Q97" s="94">
        <v>28.12</v>
      </c>
      <c r="R97" s="94">
        <v>34.26</v>
      </c>
      <c r="S97" s="94">
        <v>40.68</v>
      </c>
      <c r="T97" s="94">
        <v>47.4</v>
      </c>
      <c r="U97" s="94">
        <v>54.4</v>
      </c>
      <c r="V97" s="94">
        <v>61.68</v>
      </c>
      <c r="W97" s="94">
        <v>66.66</v>
      </c>
      <c r="X97" s="94">
        <v>71.64</v>
      </c>
      <c r="Y97" s="94">
        <v>76.62</v>
      </c>
      <c r="Z97" s="94">
        <v>81.599999999999994</v>
      </c>
      <c r="AA97" s="94">
        <v>86.57</v>
      </c>
      <c r="AB97" s="103">
        <v>90.23</v>
      </c>
      <c r="AC97" s="103">
        <v>93.89</v>
      </c>
      <c r="AD97" s="103">
        <v>97.55</v>
      </c>
      <c r="AE97" s="103">
        <v>101.21</v>
      </c>
      <c r="AF97" s="103">
        <v>104.89</v>
      </c>
      <c r="AG97" s="25"/>
      <c r="AH97" s="25"/>
      <c r="AI97" s="25"/>
      <c r="AJ97" s="25"/>
      <c r="AK97" s="25"/>
      <c r="AL97" s="25"/>
      <c r="AM97" s="25"/>
      <c r="AN97" s="25"/>
      <c r="AO97" s="25"/>
      <c r="AP97" s="25"/>
    </row>
    <row r="98" spans="12:42" x14ac:dyDescent="0.35">
      <c r="L98" s="24">
        <v>52</v>
      </c>
      <c r="M98" s="94">
        <v>6.85</v>
      </c>
      <c r="N98" s="94">
        <v>11.62</v>
      </c>
      <c r="O98" s="94">
        <v>16.77</v>
      </c>
      <c r="P98" s="94">
        <v>22.28</v>
      </c>
      <c r="Q98" s="94">
        <v>28.12</v>
      </c>
      <c r="R98" s="94">
        <v>34.26</v>
      </c>
      <c r="S98" s="94">
        <v>40.68</v>
      </c>
      <c r="T98" s="94">
        <v>47.4</v>
      </c>
      <c r="U98" s="94">
        <v>54.4</v>
      </c>
      <c r="V98" s="94">
        <v>61.68</v>
      </c>
      <c r="W98" s="94">
        <v>66.66</v>
      </c>
      <c r="X98" s="94">
        <v>71.64</v>
      </c>
      <c r="Y98" s="94">
        <v>76.62</v>
      </c>
      <c r="Z98" s="94">
        <v>81.599999999999994</v>
      </c>
      <c r="AA98" s="94">
        <v>86.57</v>
      </c>
      <c r="AB98" s="103">
        <v>90.23</v>
      </c>
      <c r="AC98" s="103">
        <v>93.89</v>
      </c>
      <c r="AD98" s="103">
        <v>97.55</v>
      </c>
      <c r="AE98" s="103">
        <v>101.21</v>
      </c>
      <c r="AF98" s="103">
        <v>104.89</v>
      </c>
      <c r="AG98" s="25"/>
      <c r="AH98" s="25"/>
      <c r="AI98" s="25"/>
      <c r="AJ98" s="25"/>
      <c r="AK98" s="25"/>
      <c r="AL98" s="25"/>
      <c r="AM98" s="25"/>
      <c r="AN98" s="25"/>
      <c r="AO98" s="25"/>
      <c r="AP98" s="25"/>
    </row>
    <row r="99" spans="12:42" x14ac:dyDescent="0.35">
      <c r="L99" s="24">
        <v>53</v>
      </c>
      <c r="M99" s="94">
        <v>6.85</v>
      </c>
      <c r="N99" s="94">
        <v>11.62</v>
      </c>
      <c r="O99" s="94">
        <v>16.77</v>
      </c>
      <c r="P99" s="94">
        <v>22.28</v>
      </c>
      <c r="Q99" s="94">
        <v>28.12</v>
      </c>
      <c r="R99" s="94">
        <v>34.26</v>
      </c>
      <c r="S99" s="94">
        <v>40.68</v>
      </c>
      <c r="T99" s="94">
        <v>47.4</v>
      </c>
      <c r="U99" s="94">
        <v>54.4</v>
      </c>
      <c r="V99" s="94">
        <v>61.68</v>
      </c>
      <c r="W99" s="94">
        <v>66.66</v>
      </c>
      <c r="X99" s="94">
        <v>71.64</v>
      </c>
      <c r="Y99" s="94">
        <v>76.62</v>
      </c>
      <c r="Z99" s="94">
        <v>81.599999999999994</v>
      </c>
      <c r="AA99" s="94">
        <v>86.57</v>
      </c>
      <c r="AB99" s="103">
        <v>90.23</v>
      </c>
      <c r="AC99" s="103">
        <v>93.89</v>
      </c>
      <c r="AD99" s="103">
        <v>97.55</v>
      </c>
      <c r="AE99" s="103">
        <v>101.21</v>
      </c>
      <c r="AF99" s="103">
        <v>104.89</v>
      </c>
      <c r="AG99" s="25"/>
      <c r="AH99" s="25"/>
      <c r="AI99" s="25"/>
      <c r="AJ99" s="25"/>
      <c r="AK99" s="25"/>
      <c r="AL99" s="25"/>
      <c r="AM99" s="25"/>
      <c r="AN99" s="25"/>
      <c r="AO99" s="25"/>
      <c r="AP99" s="25"/>
    </row>
    <row r="100" spans="12:42" x14ac:dyDescent="0.35">
      <c r="L100" s="24">
        <v>54</v>
      </c>
      <c r="M100" s="94">
        <v>6.85</v>
      </c>
      <c r="N100" s="94">
        <v>11.62</v>
      </c>
      <c r="O100" s="94">
        <v>16.77</v>
      </c>
      <c r="P100" s="94">
        <v>22.28</v>
      </c>
      <c r="Q100" s="94">
        <v>28.12</v>
      </c>
      <c r="R100" s="94">
        <v>34.26</v>
      </c>
      <c r="S100" s="94">
        <v>40.68</v>
      </c>
      <c r="T100" s="94">
        <v>47.4</v>
      </c>
      <c r="U100" s="94">
        <v>54.4</v>
      </c>
      <c r="V100" s="94">
        <v>61.68</v>
      </c>
      <c r="W100" s="94">
        <v>66.66</v>
      </c>
      <c r="X100" s="94">
        <v>71.64</v>
      </c>
      <c r="Y100" s="94">
        <v>76.62</v>
      </c>
      <c r="Z100" s="94">
        <v>81.599999999999994</v>
      </c>
      <c r="AA100" s="94">
        <v>86.57</v>
      </c>
      <c r="AB100" s="103">
        <v>90.23</v>
      </c>
      <c r="AC100" s="103">
        <v>93.89</v>
      </c>
      <c r="AD100" s="103">
        <v>97.55</v>
      </c>
      <c r="AE100" s="103">
        <v>101.21</v>
      </c>
      <c r="AF100" s="103">
        <v>104.89</v>
      </c>
      <c r="AG100" s="25"/>
      <c r="AH100" s="25"/>
      <c r="AI100" s="25"/>
      <c r="AJ100" s="25"/>
      <c r="AK100" s="25"/>
      <c r="AL100" s="25"/>
      <c r="AM100" s="25"/>
      <c r="AN100" s="25"/>
      <c r="AO100" s="25"/>
      <c r="AP100" s="25"/>
    </row>
    <row r="101" spans="12:42" x14ac:dyDescent="0.35">
      <c r="L101" s="24">
        <v>55</v>
      </c>
      <c r="M101" s="94">
        <v>6.85</v>
      </c>
      <c r="N101" s="94">
        <v>11.62</v>
      </c>
      <c r="O101" s="94">
        <v>16.77</v>
      </c>
      <c r="P101" s="94">
        <v>22.28</v>
      </c>
      <c r="Q101" s="94">
        <v>28.12</v>
      </c>
      <c r="R101" s="94">
        <v>34.26</v>
      </c>
      <c r="S101" s="94">
        <v>40.68</v>
      </c>
      <c r="T101" s="94">
        <v>47.4</v>
      </c>
      <c r="U101" s="94">
        <v>54.4</v>
      </c>
      <c r="V101" s="94">
        <v>61.68</v>
      </c>
      <c r="W101" s="94">
        <v>66.66</v>
      </c>
      <c r="X101" s="94">
        <v>71.64</v>
      </c>
      <c r="Y101" s="94">
        <v>76.62</v>
      </c>
      <c r="Z101" s="94">
        <v>81.599999999999994</v>
      </c>
      <c r="AA101" s="94">
        <v>86.57</v>
      </c>
      <c r="AB101" s="103">
        <v>90.23</v>
      </c>
      <c r="AC101" s="103">
        <v>93.89</v>
      </c>
      <c r="AD101" s="103">
        <v>97.55</v>
      </c>
      <c r="AE101" s="103">
        <v>101.21</v>
      </c>
      <c r="AF101" s="103">
        <v>104.89</v>
      </c>
      <c r="AG101" s="25"/>
      <c r="AH101" s="25"/>
      <c r="AI101" s="25"/>
      <c r="AJ101" s="25"/>
      <c r="AK101" s="25"/>
      <c r="AL101" s="25"/>
      <c r="AM101" s="25"/>
      <c r="AN101" s="25"/>
      <c r="AO101" s="25"/>
      <c r="AP101" s="25"/>
    </row>
    <row r="102" spans="12:42" x14ac:dyDescent="0.35">
      <c r="L102" s="24">
        <v>56</v>
      </c>
      <c r="M102" s="94">
        <v>6.85</v>
      </c>
      <c r="N102" s="94">
        <v>11.62</v>
      </c>
      <c r="O102" s="94">
        <v>16.77</v>
      </c>
      <c r="P102" s="94">
        <v>22.28</v>
      </c>
      <c r="Q102" s="94">
        <v>28.12</v>
      </c>
      <c r="R102" s="94">
        <v>34.26</v>
      </c>
      <c r="S102" s="94">
        <v>40.68</v>
      </c>
      <c r="T102" s="94">
        <v>47.4</v>
      </c>
      <c r="U102" s="94">
        <v>54.4</v>
      </c>
      <c r="V102" s="94">
        <v>61.68</v>
      </c>
      <c r="W102" s="94">
        <v>66.66</v>
      </c>
      <c r="X102" s="94">
        <v>71.64</v>
      </c>
      <c r="Y102" s="94">
        <v>76.62</v>
      </c>
      <c r="Z102" s="94">
        <v>81.599999999999994</v>
      </c>
      <c r="AA102" s="94">
        <v>86.57</v>
      </c>
      <c r="AB102" s="103">
        <v>90.23</v>
      </c>
      <c r="AC102" s="103">
        <v>93.89</v>
      </c>
      <c r="AD102" s="103">
        <v>97.55</v>
      </c>
      <c r="AE102" s="103">
        <v>101.21</v>
      </c>
      <c r="AF102" s="103">
        <v>104.89</v>
      </c>
      <c r="AG102" s="25"/>
      <c r="AH102" s="25"/>
      <c r="AI102" s="25"/>
      <c r="AJ102" s="25"/>
      <c r="AK102" s="25"/>
      <c r="AL102" s="25"/>
      <c r="AM102" s="25"/>
      <c r="AN102" s="25"/>
      <c r="AO102" s="25"/>
      <c r="AP102" s="25"/>
    </row>
    <row r="103" spans="12:42" x14ac:dyDescent="0.35">
      <c r="L103" s="24">
        <v>57</v>
      </c>
      <c r="M103" s="94">
        <v>6.85</v>
      </c>
      <c r="N103" s="94">
        <v>11.62</v>
      </c>
      <c r="O103" s="94">
        <v>16.77</v>
      </c>
      <c r="P103" s="94">
        <v>22.28</v>
      </c>
      <c r="Q103" s="94">
        <v>28.12</v>
      </c>
      <c r="R103" s="94">
        <v>34.26</v>
      </c>
      <c r="S103" s="94">
        <v>40.68</v>
      </c>
      <c r="T103" s="94">
        <v>47.4</v>
      </c>
      <c r="U103" s="94">
        <v>54.4</v>
      </c>
      <c r="V103" s="94">
        <v>61.68</v>
      </c>
      <c r="W103" s="94">
        <v>66.66</v>
      </c>
      <c r="X103" s="94">
        <v>71.64</v>
      </c>
      <c r="Y103" s="94">
        <v>76.62</v>
      </c>
      <c r="Z103" s="94">
        <v>81.599999999999994</v>
      </c>
      <c r="AA103" s="94">
        <v>86.57</v>
      </c>
      <c r="AB103" s="103">
        <v>90.23</v>
      </c>
      <c r="AC103" s="103">
        <v>93.89</v>
      </c>
      <c r="AD103" s="103">
        <v>97.55</v>
      </c>
      <c r="AE103" s="103">
        <v>101.21</v>
      </c>
      <c r="AF103" s="103">
        <v>104.89</v>
      </c>
      <c r="AG103" s="25"/>
      <c r="AH103" s="25"/>
      <c r="AI103" s="25"/>
      <c r="AJ103" s="25"/>
      <c r="AK103" s="25"/>
      <c r="AL103" s="25"/>
      <c r="AM103" s="25"/>
      <c r="AN103" s="25"/>
      <c r="AO103" s="25"/>
      <c r="AP103" s="25"/>
    </row>
    <row r="104" spans="12:42" x14ac:dyDescent="0.35">
      <c r="L104" s="24">
        <v>58</v>
      </c>
      <c r="M104" s="94">
        <v>6.85</v>
      </c>
      <c r="N104" s="94">
        <v>11.62</v>
      </c>
      <c r="O104" s="94">
        <v>16.77</v>
      </c>
      <c r="P104" s="94">
        <v>22.28</v>
      </c>
      <c r="Q104" s="94">
        <v>28.12</v>
      </c>
      <c r="R104" s="94">
        <v>34.26</v>
      </c>
      <c r="S104" s="94">
        <v>40.68</v>
      </c>
      <c r="T104" s="94">
        <v>47.4</v>
      </c>
      <c r="U104" s="94">
        <v>54.4</v>
      </c>
      <c r="V104" s="94">
        <v>61.68</v>
      </c>
      <c r="W104" s="94">
        <v>66.66</v>
      </c>
      <c r="X104" s="94">
        <v>71.64</v>
      </c>
      <c r="Y104" s="94">
        <v>76.62</v>
      </c>
      <c r="Z104" s="94">
        <v>81.599999999999994</v>
      </c>
      <c r="AA104" s="94">
        <v>86.57</v>
      </c>
      <c r="AB104" s="103">
        <v>90.23</v>
      </c>
      <c r="AC104" s="103">
        <v>93.89</v>
      </c>
      <c r="AD104" s="103">
        <v>97.55</v>
      </c>
      <c r="AE104" s="103">
        <v>101.21</v>
      </c>
      <c r="AF104" s="103">
        <v>104.89</v>
      </c>
      <c r="AG104" s="25"/>
      <c r="AH104" s="25"/>
      <c r="AI104" s="25"/>
      <c r="AJ104" s="25"/>
      <c r="AK104" s="25"/>
      <c r="AL104" s="25"/>
      <c r="AM104" s="25"/>
      <c r="AN104" s="25"/>
      <c r="AO104" s="25"/>
      <c r="AP104" s="25"/>
    </row>
    <row r="105" spans="12:42" x14ac:dyDescent="0.35">
      <c r="L105" s="24">
        <v>59</v>
      </c>
      <c r="M105" s="94">
        <v>6.85</v>
      </c>
      <c r="N105" s="94">
        <v>11.62</v>
      </c>
      <c r="O105" s="94">
        <v>16.77</v>
      </c>
      <c r="P105" s="94">
        <v>22.28</v>
      </c>
      <c r="Q105" s="94">
        <v>28.12</v>
      </c>
      <c r="R105" s="94">
        <v>34.26</v>
      </c>
      <c r="S105" s="94">
        <v>40.68</v>
      </c>
      <c r="T105" s="94">
        <v>47.4</v>
      </c>
      <c r="U105" s="94">
        <v>54.4</v>
      </c>
      <c r="V105" s="94">
        <v>61.68</v>
      </c>
      <c r="W105" s="94">
        <v>66.66</v>
      </c>
      <c r="X105" s="94">
        <v>71.64</v>
      </c>
      <c r="Y105" s="94">
        <v>76.62</v>
      </c>
      <c r="Z105" s="94">
        <v>81.599999999999994</v>
      </c>
      <c r="AA105" s="94">
        <v>86.57</v>
      </c>
      <c r="AB105" s="103">
        <v>90.23</v>
      </c>
      <c r="AC105" s="103">
        <v>93.89</v>
      </c>
      <c r="AD105" s="103">
        <v>97.55</v>
      </c>
      <c r="AE105" s="103">
        <v>101.21</v>
      </c>
      <c r="AF105" s="103">
        <v>104.89</v>
      </c>
      <c r="AG105" s="25"/>
      <c r="AH105" s="25"/>
      <c r="AI105" s="25"/>
      <c r="AJ105" s="25"/>
      <c r="AK105" s="25"/>
      <c r="AL105" s="25"/>
      <c r="AM105" s="25"/>
      <c r="AN105" s="25"/>
      <c r="AO105" s="25"/>
      <c r="AP105" s="25"/>
    </row>
    <row r="106" spans="12:42" x14ac:dyDescent="0.35">
      <c r="L106" s="24">
        <v>60</v>
      </c>
      <c r="M106" s="94">
        <v>6.85</v>
      </c>
      <c r="N106" s="94">
        <v>11.62</v>
      </c>
      <c r="O106" s="94">
        <v>16.77</v>
      </c>
      <c r="P106" s="94">
        <v>22.28</v>
      </c>
      <c r="Q106" s="94">
        <v>28.12</v>
      </c>
      <c r="R106" s="94">
        <v>34.26</v>
      </c>
      <c r="S106" s="94">
        <v>40.68</v>
      </c>
      <c r="T106" s="94">
        <v>47.4</v>
      </c>
      <c r="U106" s="94">
        <v>54.4</v>
      </c>
      <c r="V106" s="94">
        <v>61.68</v>
      </c>
      <c r="W106" s="94">
        <v>66.66</v>
      </c>
      <c r="X106" s="94">
        <v>71.64</v>
      </c>
      <c r="Y106" s="94">
        <v>76.62</v>
      </c>
      <c r="Z106" s="94">
        <v>81.599999999999994</v>
      </c>
      <c r="AA106" s="94">
        <v>86.57</v>
      </c>
      <c r="AB106" s="103">
        <v>90.23</v>
      </c>
      <c r="AC106" s="103">
        <v>93.89</v>
      </c>
      <c r="AD106" s="103">
        <v>97.55</v>
      </c>
      <c r="AE106" s="103">
        <v>101.21</v>
      </c>
      <c r="AF106" s="103">
        <v>104.89</v>
      </c>
      <c r="AG106" s="25"/>
      <c r="AH106" s="25"/>
      <c r="AI106" s="25"/>
      <c r="AJ106" s="25"/>
      <c r="AK106" s="25"/>
      <c r="AL106" s="25"/>
      <c r="AM106" s="25"/>
      <c r="AN106" s="25"/>
      <c r="AO106" s="25"/>
      <c r="AP106" s="25"/>
    </row>
    <row r="107" spans="12:42" x14ac:dyDescent="0.35">
      <c r="L107" s="24" t="str">
        <f t="shared" ref="L107:L116" si="2">IF(AND(ROW(K49)+12&gt;=$G$11,ROW(K49)+12&lt;=$I$11),ROW(K49)+12,"")</f>
        <v/>
      </c>
      <c r="M107" s="26"/>
      <c r="N107" s="104"/>
      <c r="O107" s="104"/>
      <c r="P107" s="104"/>
      <c r="Q107" s="104"/>
      <c r="R107" s="104"/>
      <c r="S107" s="104"/>
      <c r="T107" s="104"/>
      <c r="U107" s="104"/>
      <c r="V107" s="104"/>
      <c r="W107" s="26"/>
      <c r="X107" s="26"/>
      <c r="Y107" s="26"/>
      <c r="Z107" s="26"/>
      <c r="AA107" s="26"/>
      <c r="AB107" s="105"/>
      <c r="AC107" s="105"/>
      <c r="AD107" s="105"/>
      <c r="AE107" s="105"/>
      <c r="AF107" s="105"/>
      <c r="AG107" s="25"/>
      <c r="AH107" s="25"/>
      <c r="AI107" s="25"/>
      <c r="AJ107" s="25"/>
      <c r="AK107" s="25"/>
      <c r="AL107" s="25"/>
      <c r="AM107" s="25"/>
      <c r="AN107" s="25"/>
      <c r="AO107" s="25"/>
      <c r="AP107" s="25"/>
    </row>
    <row r="108" spans="12:42" x14ac:dyDescent="0.35">
      <c r="L108" s="24" t="str">
        <f t="shared" si="2"/>
        <v/>
      </c>
      <c r="M108" s="26"/>
      <c r="N108" s="104"/>
      <c r="O108" s="104"/>
      <c r="P108" s="104"/>
      <c r="Q108" s="104"/>
      <c r="R108" s="104"/>
      <c r="S108" s="104"/>
      <c r="T108" s="104"/>
      <c r="U108" s="104"/>
      <c r="V108" s="104"/>
      <c r="W108" s="26"/>
      <c r="X108" s="26"/>
      <c r="Y108" s="26"/>
      <c r="Z108" s="26"/>
      <c r="AA108" s="26"/>
      <c r="AB108" s="105"/>
      <c r="AC108" s="105"/>
      <c r="AD108" s="105"/>
      <c r="AE108" s="105"/>
      <c r="AF108" s="105"/>
      <c r="AG108" s="25"/>
      <c r="AH108" s="25"/>
      <c r="AI108" s="25"/>
      <c r="AJ108" s="25"/>
      <c r="AK108" s="25"/>
      <c r="AL108" s="25"/>
      <c r="AM108" s="25"/>
      <c r="AN108" s="25"/>
      <c r="AO108" s="25"/>
      <c r="AP108" s="25"/>
    </row>
    <row r="109" spans="12:42" x14ac:dyDescent="0.35">
      <c r="L109" s="24" t="str">
        <f t="shared" si="2"/>
        <v/>
      </c>
      <c r="M109" s="26"/>
      <c r="N109" s="104"/>
      <c r="O109" s="104"/>
      <c r="P109" s="104"/>
      <c r="Q109" s="104"/>
      <c r="R109" s="104"/>
      <c r="S109" s="104"/>
      <c r="T109" s="104"/>
      <c r="U109" s="104"/>
      <c r="V109" s="104"/>
      <c r="W109" s="26"/>
      <c r="X109" s="26"/>
      <c r="Y109" s="26"/>
      <c r="Z109" s="26"/>
      <c r="AA109" s="26"/>
      <c r="AB109" s="105"/>
      <c r="AC109" s="105"/>
      <c r="AD109" s="105"/>
      <c r="AE109" s="105"/>
      <c r="AF109" s="105"/>
      <c r="AG109" s="25"/>
      <c r="AH109" s="25"/>
      <c r="AI109" s="25"/>
      <c r="AJ109" s="25"/>
      <c r="AK109" s="25"/>
      <c r="AL109" s="25"/>
      <c r="AM109" s="25"/>
      <c r="AN109" s="25"/>
      <c r="AO109" s="25"/>
      <c r="AP109" s="25"/>
    </row>
    <row r="110" spans="12:42" x14ac:dyDescent="0.35">
      <c r="L110" s="24" t="str">
        <f t="shared" si="2"/>
        <v/>
      </c>
      <c r="M110" s="26"/>
      <c r="N110" s="104"/>
      <c r="O110" s="104"/>
      <c r="P110" s="104"/>
      <c r="Q110" s="104"/>
      <c r="R110" s="104"/>
      <c r="S110" s="104"/>
      <c r="T110" s="104"/>
      <c r="U110" s="104"/>
      <c r="V110" s="104"/>
      <c r="W110" s="26"/>
      <c r="X110" s="26"/>
      <c r="Y110" s="26"/>
      <c r="Z110" s="26"/>
      <c r="AA110" s="26"/>
      <c r="AB110" s="105"/>
      <c r="AC110" s="105"/>
      <c r="AD110" s="105"/>
      <c r="AE110" s="105"/>
      <c r="AF110" s="105"/>
      <c r="AG110" s="25"/>
      <c r="AH110" s="25"/>
      <c r="AI110" s="25"/>
      <c r="AJ110" s="25"/>
      <c r="AK110" s="25"/>
      <c r="AL110" s="25"/>
      <c r="AM110" s="25"/>
      <c r="AN110" s="25"/>
      <c r="AO110" s="25"/>
      <c r="AP110" s="25"/>
    </row>
    <row r="111" spans="12:42" x14ac:dyDescent="0.35">
      <c r="L111" s="24" t="str">
        <f t="shared" si="2"/>
        <v/>
      </c>
      <c r="M111" s="26"/>
      <c r="N111" s="104"/>
      <c r="O111" s="104"/>
      <c r="P111" s="104"/>
      <c r="Q111" s="104"/>
      <c r="R111" s="105"/>
      <c r="S111" s="105"/>
      <c r="T111" s="105"/>
      <c r="U111" s="105"/>
      <c r="V111" s="105"/>
      <c r="W111" s="105"/>
      <c r="X111" s="105"/>
      <c r="Y111" s="105"/>
      <c r="Z111" s="105"/>
      <c r="AA111" s="105"/>
      <c r="AB111" s="105"/>
      <c r="AC111" s="105"/>
      <c r="AD111" s="105"/>
      <c r="AE111" s="105"/>
      <c r="AF111" s="105"/>
      <c r="AG111" s="25"/>
      <c r="AH111" s="25"/>
      <c r="AI111" s="25"/>
      <c r="AJ111" s="25"/>
      <c r="AK111" s="25"/>
      <c r="AL111" s="25"/>
      <c r="AM111" s="25"/>
      <c r="AN111" s="25"/>
      <c r="AO111" s="25"/>
      <c r="AP111" s="25"/>
    </row>
    <row r="112" spans="12:42" x14ac:dyDescent="0.35">
      <c r="L112" s="24" t="str">
        <f t="shared" si="2"/>
        <v/>
      </c>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row>
    <row r="113" spans="11:42" x14ac:dyDescent="0.35">
      <c r="L113" s="24" t="str">
        <f t="shared" si="2"/>
        <v/>
      </c>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row>
    <row r="114" spans="11:42" x14ac:dyDescent="0.35">
      <c r="L114" s="24" t="str">
        <f t="shared" si="2"/>
        <v/>
      </c>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row>
    <row r="115" spans="11:42" x14ac:dyDescent="0.35">
      <c r="L115" s="24" t="str">
        <f t="shared" si="2"/>
        <v/>
      </c>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row>
    <row r="116" spans="11:42" x14ac:dyDescent="0.35">
      <c r="L116" s="24" t="str">
        <f t="shared" si="2"/>
        <v/>
      </c>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row>
    <row r="118" spans="11:42" x14ac:dyDescent="0.35">
      <c r="L118" s="91" t="s">
        <v>86</v>
      </c>
    </row>
    <row r="119" spans="11:42" x14ac:dyDescent="0.35">
      <c r="K119" s="90"/>
      <c r="L119" s="134" t="s">
        <v>44</v>
      </c>
      <c r="M119" s="135" t="s">
        <v>45</v>
      </c>
      <c r="N119" s="135"/>
      <c r="O119" s="135"/>
      <c r="P119" s="135"/>
      <c r="Q119" s="135"/>
      <c r="R119" s="135"/>
      <c r="S119" s="135"/>
      <c r="T119" s="135"/>
      <c r="U119" s="135"/>
      <c r="V119" s="135"/>
      <c r="W119" s="135"/>
      <c r="X119" s="135"/>
      <c r="Y119" s="135"/>
      <c r="Z119" s="135"/>
      <c r="AA119" s="135"/>
      <c r="AB119" s="135"/>
      <c r="AC119" s="135"/>
      <c r="AD119" s="135"/>
      <c r="AE119" s="135"/>
      <c r="AF119" s="135"/>
      <c r="AG119" s="135"/>
      <c r="AH119" s="135"/>
      <c r="AI119" s="135"/>
      <c r="AJ119" s="135"/>
      <c r="AK119" s="135"/>
      <c r="AL119" s="135"/>
      <c r="AM119" s="135"/>
      <c r="AN119" s="135"/>
      <c r="AO119" s="135"/>
      <c r="AP119" s="135"/>
    </row>
    <row r="120" spans="11:42" x14ac:dyDescent="0.35">
      <c r="L120" s="134"/>
      <c r="M120" s="23">
        <v>1</v>
      </c>
      <c r="N120" s="23">
        <v>2</v>
      </c>
      <c r="O120" s="23">
        <v>3</v>
      </c>
      <c r="P120" s="23">
        <v>4</v>
      </c>
      <c r="Q120" s="23">
        <v>5</v>
      </c>
      <c r="R120" s="23">
        <v>6</v>
      </c>
      <c r="S120" s="23">
        <v>7</v>
      </c>
      <c r="T120" s="23">
        <v>8</v>
      </c>
      <c r="U120" s="23">
        <v>9</v>
      </c>
      <c r="V120" s="23">
        <v>10</v>
      </c>
      <c r="W120" s="23">
        <v>11</v>
      </c>
      <c r="X120" s="23">
        <v>12</v>
      </c>
      <c r="Y120" s="23">
        <v>13</v>
      </c>
      <c r="Z120" s="23">
        <v>14</v>
      </c>
      <c r="AA120" s="23">
        <v>15</v>
      </c>
      <c r="AB120" s="23">
        <v>16</v>
      </c>
      <c r="AC120" s="23">
        <v>17</v>
      </c>
      <c r="AD120" s="23">
        <v>18</v>
      </c>
      <c r="AE120" s="23">
        <v>19</v>
      </c>
      <c r="AF120" s="23">
        <v>20</v>
      </c>
      <c r="AG120" s="23">
        <v>21</v>
      </c>
      <c r="AH120" s="23">
        <v>22</v>
      </c>
      <c r="AI120" s="23">
        <v>23</v>
      </c>
      <c r="AJ120" s="23">
        <v>24</v>
      </c>
      <c r="AK120" s="23">
        <v>25</v>
      </c>
      <c r="AL120" s="23">
        <v>26</v>
      </c>
      <c r="AM120" s="23">
        <v>27</v>
      </c>
      <c r="AN120" s="23">
        <v>28</v>
      </c>
      <c r="AO120" s="23">
        <v>29</v>
      </c>
      <c r="AP120" s="23">
        <v>30</v>
      </c>
    </row>
    <row r="121" spans="11:42" x14ac:dyDescent="0.35">
      <c r="L121" s="24" t="str">
        <f>IF(AND(ROW(K5)+12&gt;=$G$11,ROW(K5)+12&lt;=$I$11),ROW(K5)+12,"")</f>
        <v/>
      </c>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row>
    <row r="122" spans="11:42" x14ac:dyDescent="0.35">
      <c r="L122" s="24">
        <v>18</v>
      </c>
      <c r="M122" s="94"/>
      <c r="N122" s="94"/>
      <c r="O122" s="94"/>
      <c r="P122" s="94"/>
      <c r="Q122" s="94"/>
      <c r="R122" s="94"/>
      <c r="S122" s="94"/>
      <c r="T122" s="94"/>
      <c r="U122" s="94"/>
      <c r="V122" s="94"/>
      <c r="W122" s="94"/>
      <c r="X122" s="94"/>
      <c r="Y122" s="94"/>
      <c r="Z122" s="94"/>
      <c r="AA122" s="94"/>
      <c r="AB122" s="103"/>
      <c r="AC122" s="103"/>
      <c r="AD122" s="103"/>
      <c r="AE122" s="103"/>
      <c r="AF122" s="103"/>
      <c r="AG122" s="25"/>
      <c r="AH122" s="25"/>
      <c r="AI122" s="25"/>
      <c r="AJ122" s="25"/>
      <c r="AK122" s="25"/>
      <c r="AL122" s="25"/>
      <c r="AM122" s="25"/>
      <c r="AN122" s="25"/>
      <c r="AO122" s="25"/>
      <c r="AP122" s="25"/>
    </row>
    <row r="123" spans="11:42" x14ac:dyDescent="0.35">
      <c r="L123" s="24">
        <v>19</v>
      </c>
      <c r="M123" s="94"/>
      <c r="N123" s="94"/>
      <c r="O123" s="94"/>
      <c r="P123" s="94"/>
      <c r="Q123" s="94"/>
      <c r="R123" s="94"/>
      <c r="S123" s="94"/>
      <c r="T123" s="94"/>
      <c r="U123" s="94"/>
      <c r="V123" s="94"/>
      <c r="W123" s="94"/>
      <c r="X123" s="94"/>
      <c r="Y123" s="94"/>
      <c r="Z123" s="94"/>
      <c r="AA123" s="94"/>
      <c r="AB123" s="103"/>
      <c r="AC123" s="103"/>
      <c r="AD123" s="103"/>
      <c r="AE123" s="103"/>
      <c r="AF123" s="103"/>
      <c r="AG123" s="25"/>
      <c r="AH123" s="25"/>
      <c r="AI123" s="25"/>
      <c r="AJ123" s="25"/>
      <c r="AK123" s="25"/>
      <c r="AL123" s="25"/>
      <c r="AM123" s="25"/>
      <c r="AN123" s="25"/>
      <c r="AO123" s="25"/>
      <c r="AP123" s="25"/>
    </row>
    <row r="124" spans="11:42" x14ac:dyDescent="0.35">
      <c r="L124" s="24">
        <v>20</v>
      </c>
      <c r="M124" s="94"/>
      <c r="N124" s="94"/>
      <c r="O124" s="94"/>
      <c r="P124" s="94"/>
      <c r="Q124" s="94"/>
      <c r="R124" s="94"/>
      <c r="S124" s="94"/>
      <c r="T124" s="94"/>
      <c r="U124" s="94"/>
      <c r="V124" s="94"/>
      <c r="W124" s="94"/>
      <c r="X124" s="94"/>
      <c r="Y124" s="94"/>
      <c r="Z124" s="94"/>
      <c r="AA124" s="94"/>
      <c r="AB124" s="103"/>
      <c r="AC124" s="103"/>
      <c r="AD124" s="103"/>
      <c r="AE124" s="103"/>
      <c r="AF124" s="103"/>
      <c r="AG124" s="25"/>
      <c r="AH124" s="25"/>
      <c r="AI124" s="25"/>
      <c r="AJ124" s="25"/>
      <c r="AK124" s="25"/>
      <c r="AL124" s="25"/>
      <c r="AM124" s="25"/>
      <c r="AN124" s="25"/>
      <c r="AO124" s="25"/>
      <c r="AP124" s="25"/>
    </row>
    <row r="125" spans="11:42" x14ac:dyDescent="0.35">
      <c r="L125" s="24">
        <v>21</v>
      </c>
      <c r="M125" s="94"/>
      <c r="N125" s="94"/>
      <c r="O125" s="94"/>
      <c r="P125" s="94"/>
      <c r="Q125" s="94"/>
      <c r="R125" s="94"/>
      <c r="S125" s="94"/>
      <c r="T125" s="94"/>
      <c r="U125" s="94"/>
      <c r="V125" s="94"/>
      <c r="W125" s="94"/>
      <c r="X125" s="94"/>
      <c r="Y125" s="94"/>
      <c r="Z125" s="94"/>
      <c r="AA125" s="94"/>
      <c r="AB125" s="103"/>
      <c r="AC125" s="103"/>
      <c r="AD125" s="103"/>
      <c r="AE125" s="103"/>
      <c r="AF125" s="103"/>
      <c r="AG125" s="25"/>
      <c r="AH125" s="25"/>
      <c r="AI125" s="25"/>
      <c r="AJ125" s="25"/>
      <c r="AK125" s="25"/>
      <c r="AL125" s="25"/>
      <c r="AM125" s="25"/>
      <c r="AN125" s="25"/>
      <c r="AO125" s="25"/>
      <c r="AP125" s="25"/>
    </row>
    <row r="126" spans="11:42" x14ac:dyDescent="0.35">
      <c r="L126" s="24">
        <v>22</v>
      </c>
      <c r="M126" s="94"/>
      <c r="N126" s="94"/>
      <c r="O126" s="94"/>
      <c r="P126" s="94"/>
      <c r="Q126" s="94"/>
      <c r="R126" s="94"/>
      <c r="S126" s="94"/>
      <c r="T126" s="94"/>
      <c r="U126" s="94"/>
      <c r="V126" s="94"/>
      <c r="W126" s="94"/>
      <c r="X126" s="94"/>
      <c r="Y126" s="94"/>
      <c r="Z126" s="94"/>
      <c r="AA126" s="94"/>
      <c r="AB126" s="103"/>
      <c r="AC126" s="103"/>
      <c r="AD126" s="103"/>
      <c r="AE126" s="103"/>
      <c r="AF126" s="103"/>
      <c r="AG126" s="25"/>
      <c r="AH126" s="25"/>
      <c r="AI126" s="25"/>
      <c r="AJ126" s="25"/>
      <c r="AK126" s="25"/>
      <c r="AL126" s="25"/>
      <c r="AM126" s="25"/>
      <c r="AN126" s="25"/>
      <c r="AO126" s="25"/>
      <c r="AP126" s="25"/>
    </row>
    <row r="127" spans="11:42" x14ac:dyDescent="0.35">
      <c r="L127" s="24">
        <v>23</v>
      </c>
      <c r="M127" s="94"/>
      <c r="N127" s="94"/>
      <c r="O127" s="94"/>
      <c r="P127" s="94"/>
      <c r="Q127" s="94"/>
      <c r="R127" s="94"/>
      <c r="S127" s="94"/>
      <c r="T127" s="94"/>
      <c r="U127" s="94"/>
      <c r="V127" s="94"/>
      <c r="W127" s="94"/>
      <c r="X127" s="94"/>
      <c r="Y127" s="94"/>
      <c r="Z127" s="94"/>
      <c r="AA127" s="94"/>
      <c r="AB127" s="103"/>
      <c r="AC127" s="103"/>
      <c r="AD127" s="103"/>
      <c r="AE127" s="103"/>
      <c r="AF127" s="103"/>
      <c r="AG127" s="25"/>
      <c r="AH127" s="25"/>
      <c r="AI127" s="25"/>
      <c r="AJ127" s="25"/>
      <c r="AK127" s="25"/>
      <c r="AL127" s="25"/>
      <c r="AM127" s="25"/>
      <c r="AN127" s="25"/>
      <c r="AO127" s="25"/>
      <c r="AP127" s="25"/>
    </row>
    <row r="128" spans="11:42" x14ac:dyDescent="0.35">
      <c r="L128" s="24">
        <v>24</v>
      </c>
      <c r="M128" s="94"/>
      <c r="N128" s="94"/>
      <c r="O128" s="94"/>
      <c r="P128" s="94"/>
      <c r="Q128" s="94"/>
      <c r="R128" s="94"/>
      <c r="S128" s="94"/>
      <c r="T128" s="94"/>
      <c r="U128" s="94"/>
      <c r="V128" s="94"/>
      <c r="W128" s="94"/>
      <c r="X128" s="94"/>
      <c r="Y128" s="94"/>
      <c r="Z128" s="94"/>
      <c r="AA128" s="94"/>
      <c r="AB128" s="103"/>
      <c r="AC128" s="103"/>
      <c r="AD128" s="103"/>
      <c r="AE128" s="103"/>
      <c r="AF128" s="103"/>
      <c r="AG128" s="25"/>
      <c r="AH128" s="25"/>
      <c r="AI128" s="25"/>
      <c r="AJ128" s="25"/>
      <c r="AK128" s="25"/>
      <c r="AL128" s="25"/>
      <c r="AM128" s="25"/>
      <c r="AN128" s="25"/>
      <c r="AO128" s="25"/>
      <c r="AP128" s="25"/>
    </row>
    <row r="129" spans="12:42" x14ac:dyDescent="0.35">
      <c r="L129" s="24">
        <v>25</v>
      </c>
      <c r="M129" s="94"/>
      <c r="N129" s="94"/>
      <c r="O129" s="94"/>
      <c r="P129" s="94"/>
      <c r="Q129" s="94"/>
      <c r="R129" s="94"/>
      <c r="S129" s="94"/>
      <c r="T129" s="94"/>
      <c r="U129" s="94"/>
      <c r="V129" s="94"/>
      <c r="W129" s="94"/>
      <c r="X129" s="94"/>
      <c r="Y129" s="94"/>
      <c r="Z129" s="94"/>
      <c r="AA129" s="94"/>
      <c r="AB129" s="103"/>
      <c r="AC129" s="103"/>
      <c r="AD129" s="103"/>
      <c r="AE129" s="103"/>
      <c r="AF129" s="103"/>
      <c r="AG129" s="25"/>
      <c r="AH129" s="25"/>
      <c r="AI129" s="25"/>
      <c r="AJ129" s="25"/>
      <c r="AK129" s="25"/>
      <c r="AL129" s="25"/>
      <c r="AM129" s="25"/>
      <c r="AN129" s="25"/>
      <c r="AO129" s="25"/>
      <c r="AP129" s="25"/>
    </row>
    <row r="130" spans="12:42" x14ac:dyDescent="0.35">
      <c r="L130" s="24">
        <v>26</v>
      </c>
      <c r="M130" s="94"/>
      <c r="N130" s="94"/>
      <c r="O130" s="94"/>
      <c r="P130" s="94"/>
      <c r="Q130" s="94"/>
      <c r="R130" s="94"/>
      <c r="S130" s="94"/>
      <c r="T130" s="94"/>
      <c r="U130" s="94"/>
      <c r="V130" s="94"/>
      <c r="W130" s="94"/>
      <c r="X130" s="94"/>
      <c r="Y130" s="94"/>
      <c r="Z130" s="94"/>
      <c r="AA130" s="94"/>
      <c r="AB130" s="103"/>
      <c r="AC130" s="103"/>
      <c r="AD130" s="103"/>
      <c r="AE130" s="103"/>
      <c r="AF130" s="103"/>
      <c r="AG130" s="25"/>
      <c r="AH130" s="25"/>
      <c r="AI130" s="25"/>
      <c r="AJ130" s="25"/>
      <c r="AK130" s="25"/>
      <c r="AL130" s="25"/>
      <c r="AM130" s="25"/>
      <c r="AN130" s="25"/>
      <c r="AO130" s="25"/>
      <c r="AP130" s="25"/>
    </row>
    <row r="131" spans="12:42" x14ac:dyDescent="0.35">
      <c r="L131" s="24">
        <v>27</v>
      </c>
      <c r="M131" s="94"/>
      <c r="N131" s="94"/>
      <c r="O131" s="94"/>
      <c r="P131" s="94"/>
      <c r="Q131" s="94"/>
      <c r="R131" s="94"/>
      <c r="S131" s="94"/>
      <c r="T131" s="94"/>
      <c r="U131" s="94"/>
      <c r="V131" s="94"/>
      <c r="W131" s="94"/>
      <c r="X131" s="94"/>
      <c r="Y131" s="94"/>
      <c r="Z131" s="94"/>
      <c r="AA131" s="94"/>
      <c r="AB131" s="103"/>
      <c r="AC131" s="103"/>
      <c r="AD131" s="103"/>
      <c r="AE131" s="103"/>
      <c r="AF131" s="103"/>
      <c r="AG131" s="25"/>
      <c r="AH131" s="25"/>
      <c r="AI131" s="25"/>
      <c r="AJ131" s="25"/>
      <c r="AK131" s="25"/>
      <c r="AL131" s="25"/>
      <c r="AM131" s="25"/>
      <c r="AN131" s="25"/>
      <c r="AO131" s="25"/>
      <c r="AP131" s="25"/>
    </row>
    <row r="132" spans="12:42" x14ac:dyDescent="0.35">
      <c r="L132" s="24">
        <v>28</v>
      </c>
      <c r="M132" s="94"/>
      <c r="N132" s="94"/>
      <c r="O132" s="94"/>
      <c r="P132" s="94"/>
      <c r="Q132" s="94"/>
      <c r="R132" s="94"/>
      <c r="S132" s="94"/>
      <c r="T132" s="94"/>
      <c r="U132" s="94"/>
      <c r="V132" s="94"/>
      <c r="W132" s="94"/>
      <c r="X132" s="94"/>
      <c r="Y132" s="94"/>
      <c r="Z132" s="94"/>
      <c r="AA132" s="94"/>
      <c r="AB132" s="103"/>
      <c r="AC132" s="103"/>
      <c r="AD132" s="103"/>
      <c r="AE132" s="103"/>
      <c r="AF132" s="103"/>
      <c r="AG132" s="25"/>
      <c r="AH132" s="25"/>
      <c r="AI132" s="25"/>
      <c r="AJ132" s="25"/>
      <c r="AK132" s="25"/>
      <c r="AL132" s="25"/>
      <c r="AM132" s="25"/>
      <c r="AN132" s="25"/>
      <c r="AO132" s="25"/>
      <c r="AP132" s="25"/>
    </row>
    <row r="133" spans="12:42" x14ac:dyDescent="0.35">
      <c r="L133" s="24">
        <v>29</v>
      </c>
      <c r="M133" s="94"/>
      <c r="N133" s="94"/>
      <c r="O133" s="94"/>
      <c r="P133" s="94"/>
      <c r="Q133" s="94"/>
      <c r="R133" s="94"/>
      <c r="S133" s="94"/>
      <c r="T133" s="94"/>
      <c r="U133" s="94"/>
      <c r="V133" s="94"/>
      <c r="W133" s="94"/>
      <c r="X133" s="94"/>
      <c r="Y133" s="94"/>
      <c r="Z133" s="94"/>
      <c r="AA133" s="94"/>
      <c r="AB133" s="103"/>
      <c r="AC133" s="103"/>
      <c r="AD133" s="103"/>
      <c r="AE133" s="103"/>
      <c r="AF133" s="103"/>
      <c r="AG133" s="25"/>
      <c r="AH133" s="25"/>
      <c r="AI133" s="25"/>
      <c r="AJ133" s="25"/>
      <c r="AK133" s="25"/>
      <c r="AL133" s="25"/>
      <c r="AM133" s="25"/>
      <c r="AN133" s="25"/>
      <c r="AO133" s="25"/>
      <c r="AP133" s="25"/>
    </row>
    <row r="134" spans="12:42" x14ac:dyDescent="0.35">
      <c r="L134" s="24">
        <v>30</v>
      </c>
      <c r="M134" s="94"/>
      <c r="N134" s="94"/>
      <c r="O134" s="94"/>
      <c r="P134" s="94"/>
      <c r="Q134" s="94"/>
      <c r="R134" s="94"/>
      <c r="S134" s="94"/>
      <c r="T134" s="94"/>
      <c r="U134" s="94"/>
      <c r="V134" s="94"/>
      <c r="W134" s="94"/>
      <c r="X134" s="94"/>
      <c r="Y134" s="94"/>
      <c r="Z134" s="94"/>
      <c r="AA134" s="94"/>
      <c r="AB134" s="103"/>
      <c r="AC134" s="103"/>
      <c r="AD134" s="103"/>
      <c r="AE134" s="103"/>
      <c r="AF134" s="103"/>
      <c r="AG134" s="25"/>
      <c r="AH134" s="25"/>
      <c r="AI134" s="25"/>
      <c r="AJ134" s="25"/>
      <c r="AK134" s="25"/>
      <c r="AL134" s="25"/>
      <c r="AM134" s="25"/>
      <c r="AN134" s="25"/>
      <c r="AO134" s="25"/>
      <c r="AP134" s="25"/>
    </row>
    <row r="135" spans="12:42" x14ac:dyDescent="0.35">
      <c r="L135" s="24">
        <v>31</v>
      </c>
      <c r="M135" s="94"/>
      <c r="N135" s="94"/>
      <c r="O135" s="94"/>
      <c r="P135" s="94"/>
      <c r="Q135" s="94"/>
      <c r="R135" s="94"/>
      <c r="S135" s="94"/>
      <c r="T135" s="94"/>
      <c r="U135" s="94"/>
      <c r="V135" s="94"/>
      <c r="W135" s="94"/>
      <c r="X135" s="94"/>
      <c r="Y135" s="94"/>
      <c r="Z135" s="94"/>
      <c r="AA135" s="94"/>
      <c r="AB135" s="103"/>
      <c r="AC135" s="103"/>
      <c r="AD135" s="103"/>
      <c r="AE135" s="103"/>
      <c r="AF135" s="103"/>
      <c r="AG135" s="25"/>
      <c r="AH135" s="25"/>
      <c r="AI135" s="25"/>
      <c r="AJ135" s="25"/>
      <c r="AK135" s="25"/>
      <c r="AL135" s="25"/>
      <c r="AM135" s="25"/>
      <c r="AN135" s="25"/>
      <c r="AO135" s="25"/>
      <c r="AP135" s="25"/>
    </row>
    <row r="136" spans="12:42" x14ac:dyDescent="0.35">
      <c r="L136" s="24">
        <v>32</v>
      </c>
      <c r="M136" s="94"/>
      <c r="N136" s="94"/>
      <c r="O136" s="94"/>
      <c r="P136" s="94"/>
      <c r="Q136" s="94"/>
      <c r="R136" s="94"/>
      <c r="S136" s="94"/>
      <c r="T136" s="94"/>
      <c r="U136" s="94"/>
      <c r="V136" s="94"/>
      <c r="W136" s="94"/>
      <c r="X136" s="94"/>
      <c r="Y136" s="94"/>
      <c r="Z136" s="94"/>
      <c r="AA136" s="94"/>
      <c r="AB136" s="103"/>
      <c r="AC136" s="103"/>
      <c r="AD136" s="103"/>
      <c r="AE136" s="103"/>
      <c r="AF136" s="103"/>
      <c r="AG136" s="25"/>
      <c r="AH136" s="25"/>
      <c r="AI136" s="25"/>
      <c r="AJ136" s="25"/>
      <c r="AK136" s="25"/>
      <c r="AL136" s="25"/>
      <c r="AM136" s="25"/>
      <c r="AN136" s="25"/>
      <c r="AO136" s="25"/>
      <c r="AP136" s="25"/>
    </row>
    <row r="137" spans="12:42" x14ac:dyDescent="0.35">
      <c r="L137" s="24">
        <v>33</v>
      </c>
      <c r="M137" s="94"/>
      <c r="N137" s="94"/>
      <c r="O137" s="94"/>
      <c r="P137" s="94"/>
      <c r="Q137" s="94"/>
      <c r="R137" s="94"/>
      <c r="S137" s="94"/>
      <c r="T137" s="94"/>
      <c r="U137" s="94"/>
      <c r="V137" s="94"/>
      <c r="W137" s="94"/>
      <c r="X137" s="94"/>
      <c r="Y137" s="94"/>
      <c r="Z137" s="94"/>
      <c r="AA137" s="94"/>
      <c r="AB137" s="103"/>
      <c r="AC137" s="103"/>
      <c r="AD137" s="103"/>
      <c r="AE137" s="103"/>
      <c r="AF137" s="103"/>
      <c r="AG137" s="25"/>
      <c r="AH137" s="25"/>
      <c r="AI137" s="25"/>
      <c r="AJ137" s="25"/>
      <c r="AK137" s="25"/>
      <c r="AL137" s="25"/>
      <c r="AM137" s="25"/>
      <c r="AN137" s="25"/>
      <c r="AO137" s="25"/>
      <c r="AP137" s="25"/>
    </row>
    <row r="138" spans="12:42" x14ac:dyDescent="0.35">
      <c r="L138" s="24">
        <v>34</v>
      </c>
      <c r="M138" s="94"/>
      <c r="N138" s="94"/>
      <c r="O138" s="94"/>
      <c r="P138" s="94"/>
      <c r="Q138" s="94"/>
      <c r="R138" s="94"/>
      <c r="S138" s="94"/>
      <c r="T138" s="94"/>
      <c r="U138" s="94"/>
      <c r="V138" s="94"/>
      <c r="W138" s="94"/>
      <c r="X138" s="94"/>
      <c r="Y138" s="94"/>
      <c r="Z138" s="94"/>
      <c r="AA138" s="94"/>
      <c r="AB138" s="103"/>
      <c r="AC138" s="103"/>
      <c r="AD138" s="103"/>
      <c r="AE138" s="103"/>
      <c r="AF138" s="103"/>
      <c r="AG138" s="25"/>
      <c r="AH138" s="25"/>
      <c r="AI138" s="25"/>
      <c r="AJ138" s="25"/>
      <c r="AK138" s="25"/>
      <c r="AL138" s="25"/>
      <c r="AM138" s="25"/>
      <c r="AN138" s="25"/>
      <c r="AO138" s="25"/>
      <c r="AP138" s="25"/>
    </row>
    <row r="139" spans="12:42" x14ac:dyDescent="0.35">
      <c r="L139" s="24">
        <v>35</v>
      </c>
      <c r="M139" s="94"/>
      <c r="N139" s="94"/>
      <c r="O139" s="94"/>
      <c r="P139" s="94"/>
      <c r="Q139" s="94"/>
      <c r="R139" s="94"/>
      <c r="S139" s="94"/>
      <c r="T139" s="94"/>
      <c r="U139" s="94"/>
      <c r="V139" s="94"/>
      <c r="W139" s="94"/>
      <c r="X139" s="94"/>
      <c r="Y139" s="94"/>
      <c r="Z139" s="94"/>
      <c r="AA139" s="94"/>
      <c r="AB139" s="103"/>
      <c r="AC139" s="103"/>
      <c r="AD139" s="103"/>
      <c r="AE139" s="103"/>
      <c r="AF139" s="103"/>
      <c r="AG139" s="25"/>
      <c r="AH139" s="25"/>
      <c r="AI139" s="25"/>
      <c r="AJ139" s="25"/>
      <c r="AK139" s="25"/>
      <c r="AL139" s="25"/>
      <c r="AM139" s="25"/>
      <c r="AN139" s="25"/>
      <c r="AO139" s="25"/>
      <c r="AP139" s="25"/>
    </row>
    <row r="140" spans="12:42" x14ac:dyDescent="0.35">
      <c r="L140" s="24">
        <v>36</v>
      </c>
      <c r="M140" s="94"/>
      <c r="N140" s="94"/>
      <c r="O140" s="94"/>
      <c r="P140" s="94"/>
      <c r="Q140" s="94"/>
      <c r="R140" s="94"/>
      <c r="S140" s="94"/>
      <c r="T140" s="94"/>
      <c r="U140" s="94"/>
      <c r="V140" s="94"/>
      <c r="W140" s="94"/>
      <c r="X140" s="94"/>
      <c r="Y140" s="94"/>
      <c r="Z140" s="94"/>
      <c r="AA140" s="94"/>
      <c r="AB140" s="103"/>
      <c r="AC140" s="103"/>
      <c r="AD140" s="103"/>
      <c r="AE140" s="103"/>
      <c r="AF140" s="103"/>
      <c r="AG140" s="25"/>
      <c r="AH140" s="25"/>
      <c r="AI140" s="25"/>
      <c r="AJ140" s="25"/>
      <c r="AK140" s="25"/>
      <c r="AL140" s="25"/>
      <c r="AM140" s="25"/>
      <c r="AN140" s="25"/>
      <c r="AO140" s="25"/>
      <c r="AP140" s="25"/>
    </row>
    <row r="141" spans="12:42" x14ac:dyDescent="0.35">
      <c r="L141" s="24">
        <v>37</v>
      </c>
      <c r="M141" s="94"/>
      <c r="N141" s="94"/>
      <c r="O141" s="94"/>
      <c r="P141" s="94"/>
      <c r="Q141" s="94"/>
      <c r="R141" s="94"/>
      <c r="S141" s="94"/>
      <c r="T141" s="94"/>
      <c r="U141" s="94"/>
      <c r="V141" s="94"/>
      <c r="W141" s="94"/>
      <c r="X141" s="94"/>
      <c r="Y141" s="94"/>
      <c r="Z141" s="94"/>
      <c r="AA141" s="94"/>
      <c r="AB141" s="103"/>
      <c r="AC141" s="103"/>
      <c r="AD141" s="103"/>
      <c r="AE141" s="103"/>
      <c r="AF141" s="103"/>
      <c r="AG141" s="25"/>
      <c r="AH141" s="25"/>
      <c r="AI141" s="25"/>
      <c r="AJ141" s="25"/>
      <c r="AK141" s="25"/>
      <c r="AL141" s="25"/>
      <c r="AM141" s="25"/>
      <c r="AN141" s="25"/>
      <c r="AO141" s="25"/>
      <c r="AP141" s="25"/>
    </row>
    <row r="142" spans="12:42" x14ac:dyDescent="0.35">
      <c r="L142" s="24">
        <v>38</v>
      </c>
      <c r="M142" s="94"/>
      <c r="N142" s="94"/>
      <c r="O142" s="94"/>
      <c r="P142" s="94"/>
      <c r="Q142" s="94"/>
      <c r="R142" s="94"/>
      <c r="S142" s="94"/>
      <c r="T142" s="94"/>
      <c r="U142" s="94"/>
      <c r="V142" s="94"/>
      <c r="W142" s="94"/>
      <c r="X142" s="94"/>
      <c r="Y142" s="94"/>
      <c r="Z142" s="94"/>
      <c r="AA142" s="94"/>
      <c r="AB142" s="103"/>
      <c r="AC142" s="103"/>
      <c r="AD142" s="103"/>
      <c r="AE142" s="103"/>
      <c r="AF142" s="103"/>
      <c r="AG142" s="25"/>
      <c r="AH142" s="25"/>
      <c r="AI142" s="25"/>
      <c r="AJ142" s="25"/>
      <c r="AK142" s="25"/>
      <c r="AL142" s="25"/>
      <c r="AM142" s="25"/>
      <c r="AN142" s="25"/>
      <c r="AO142" s="25"/>
      <c r="AP142" s="25"/>
    </row>
    <row r="143" spans="12:42" x14ac:dyDescent="0.35">
      <c r="L143" s="24">
        <v>39</v>
      </c>
      <c r="M143" s="94"/>
      <c r="N143" s="94"/>
      <c r="O143" s="94"/>
      <c r="P143" s="94"/>
      <c r="Q143" s="94"/>
      <c r="R143" s="94"/>
      <c r="S143" s="94"/>
      <c r="T143" s="94"/>
      <c r="U143" s="94"/>
      <c r="V143" s="94"/>
      <c r="W143" s="94"/>
      <c r="X143" s="94"/>
      <c r="Y143" s="94"/>
      <c r="Z143" s="94"/>
      <c r="AA143" s="94"/>
      <c r="AB143" s="103"/>
      <c r="AC143" s="103"/>
      <c r="AD143" s="103"/>
      <c r="AE143" s="103"/>
      <c r="AF143" s="103"/>
      <c r="AG143" s="25"/>
      <c r="AH143" s="25"/>
      <c r="AI143" s="25"/>
      <c r="AJ143" s="25"/>
      <c r="AK143" s="25"/>
      <c r="AL143" s="25"/>
      <c r="AM143" s="25"/>
      <c r="AN143" s="25"/>
      <c r="AO143" s="25"/>
      <c r="AP143" s="25"/>
    </row>
    <row r="144" spans="12:42" x14ac:dyDescent="0.35">
      <c r="L144" s="24">
        <v>40</v>
      </c>
      <c r="M144" s="94"/>
      <c r="N144" s="94"/>
      <c r="O144" s="94"/>
      <c r="P144" s="94"/>
      <c r="Q144" s="94"/>
      <c r="R144" s="94"/>
      <c r="S144" s="94"/>
      <c r="T144" s="94"/>
      <c r="U144" s="94"/>
      <c r="V144" s="94"/>
      <c r="W144" s="94"/>
      <c r="X144" s="94"/>
      <c r="Y144" s="94"/>
      <c r="Z144" s="94"/>
      <c r="AA144" s="94"/>
      <c r="AB144" s="103"/>
      <c r="AC144" s="103"/>
      <c r="AD144" s="103"/>
      <c r="AE144" s="103"/>
      <c r="AF144" s="103"/>
      <c r="AG144" s="25"/>
      <c r="AH144" s="25"/>
      <c r="AI144" s="25"/>
      <c r="AJ144" s="25"/>
      <c r="AK144" s="25"/>
      <c r="AL144" s="25"/>
      <c r="AM144" s="25"/>
      <c r="AN144" s="25"/>
      <c r="AO144" s="25"/>
      <c r="AP144" s="25"/>
    </row>
    <row r="145" spans="12:42" x14ac:dyDescent="0.35">
      <c r="L145" s="24">
        <v>41</v>
      </c>
      <c r="M145" s="94"/>
      <c r="N145" s="94"/>
      <c r="O145" s="94"/>
      <c r="P145" s="94"/>
      <c r="Q145" s="94"/>
      <c r="R145" s="94"/>
      <c r="S145" s="94"/>
      <c r="T145" s="94"/>
      <c r="U145" s="94"/>
      <c r="V145" s="94"/>
      <c r="W145" s="94"/>
      <c r="X145" s="94"/>
      <c r="Y145" s="94"/>
      <c r="Z145" s="94"/>
      <c r="AA145" s="94"/>
      <c r="AB145" s="103"/>
      <c r="AC145" s="103"/>
      <c r="AD145" s="103"/>
      <c r="AE145" s="103"/>
      <c r="AF145" s="103"/>
      <c r="AG145" s="25"/>
      <c r="AH145" s="25"/>
      <c r="AI145" s="25"/>
      <c r="AJ145" s="25"/>
      <c r="AK145" s="25"/>
      <c r="AL145" s="25"/>
      <c r="AM145" s="25"/>
      <c r="AN145" s="25"/>
      <c r="AO145" s="25"/>
      <c r="AP145" s="25"/>
    </row>
    <row r="146" spans="12:42" x14ac:dyDescent="0.35">
      <c r="L146" s="24">
        <v>42</v>
      </c>
      <c r="M146" s="94"/>
      <c r="N146" s="94"/>
      <c r="O146" s="94"/>
      <c r="P146" s="94"/>
      <c r="Q146" s="94"/>
      <c r="R146" s="94"/>
      <c r="S146" s="94"/>
      <c r="T146" s="94"/>
      <c r="U146" s="94"/>
      <c r="V146" s="94"/>
      <c r="W146" s="94"/>
      <c r="X146" s="94"/>
      <c r="Y146" s="94"/>
      <c r="Z146" s="94"/>
      <c r="AA146" s="94"/>
      <c r="AB146" s="103"/>
      <c r="AC146" s="103"/>
      <c r="AD146" s="103"/>
      <c r="AE146" s="103"/>
      <c r="AF146" s="103"/>
      <c r="AG146" s="25"/>
      <c r="AH146" s="25"/>
      <c r="AI146" s="25"/>
      <c r="AJ146" s="25"/>
      <c r="AK146" s="25"/>
      <c r="AL146" s="25"/>
      <c r="AM146" s="25"/>
      <c r="AN146" s="25"/>
      <c r="AO146" s="25"/>
      <c r="AP146" s="25"/>
    </row>
    <row r="147" spans="12:42" x14ac:dyDescent="0.35">
      <c r="L147" s="24">
        <v>43</v>
      </c>
      <c r="M147" s="94"/>
      <c r="N147" s="94"/>
      <c r="O147" s="94"/>
      <c r="P147" s="94"/>
      <c r="Q147" s="94"/>
      <c r="R147" s="94"/>
      <c r="S147" s="94"/>
      <c r="T147" s="94"/>
      <c r="U147" s="94"/>
      <c r="V147" s="94"/>
      <c r="W147" s="94"/>
      <c r="X147" s="94"/>
      <c r="Y147" s="94"/>
      <c r="Z147" s="94"/>
      <c r="AA147" s="94"/>
      <c r="AB147" s="103"/>
      <c r="AC147" s="103"/>
      <c r="AD147" s="103"/>
      <c r="AE147" s="103"/>
      <c r="AF147" s="103"/>
      <c r="AG147" s="25"/>
      <c r="AH147" s="25"/>
      <c r="AI147" s="25"/>
      <c r="AJ147" s="25"/>
      <c r="AK147" s="25"/>
      <c r="AL147" s="25"/>
      <c r="AM147" s="25"/>
      <c r="AN147" s="25"/>
      <c r="AO147" s="25"/>
      <c r="AP147" s="25"/>
    </row>
    <row r="148" spans="12:42" x14ac:dyDescent="0.35">
      <c r="L148" s="24">
        <v>44</v>
      </c>
      <c r="M148" s="94"/>
      <c r="N148" s="94"/>
      <c r="O148" s="94"/>
      <c r="P148" s="94"/>
      <c r="Q148" s="94"/>
      <c r="R148" s="94"/>
      <c r="S148" s="94"/>
      <c r="T148" s="94"/>
      <c r="U148" s="94"/>
      <c r="V148" s="94"/>
      <c r="W148" s="94"/>
      <c r="X148" s="94"/>
      <c r="Y148" s="94"/>
      <c r="Z148" s="94"/>
      <c r="AA148" s="94"/>
      <c r="AB148" s="103"/>
      <c r="AC148" s="103"/>
      <c r="AD148" s="103"/>
      <c r="AE148" s="103"/>
      <c r="AF148" s="103"/>
      <c r="AG148" s="25"/>
      <c r="AH148" s="25"/>
      <c r="AI148" s="25"/>
      <c r="AJ148" s="25"/>
      <c r="AK148" s="25"/>
      <c r="AL148" s="25"/>
      <c r="AM148" s="25"/>
      <c r="AN148" s="25"/>
      <c r="AO148" s="25"/>
      <c r="AP148" s="25"/>
    </row>
    <row r="149" spans="12:42" x14ac:dyDescent="0.35">
      <c r="L149" s="24">
        <v>45</v>
      </c>
      <c r="M149" s="94"/>
      <c r="N149" s="94"/>
      <c r="O149" s="94"/>
      <c r="P149" s="94"/>
      <c r="Q149" s="94"/>
      <c r="R149" s="94"/>
      <c r="S149" s="94"/>
      <c r="T149" s="94"/>
      <c r="U149" s="94"/>
      <c r="V149" s="94"/>
      <c r="W149" s="94"/>
      <c r="X149" s="94"/>
      <c r="Y149" s="94"/>
      <c r="Z149" s="94"/>
      <c r="AA149" s="94"/>
      <c r="AB149" s="103"/>
      <c r="AC149" s="103"/>
      <c r="AD149" s="103"/>
      <c r="AE149" s="103"/>
      <c r="AF149" s="103"/>
      <c r="AG149" s="25"/>
      <c r="AH149" s="25"/>
      <c r="AI149" s="25"/>
      <c r="AJ149" s="25"/>
      <c r="AK149" s="25"/>
      <c r="AL149" s="25"/>
      <c r="AM149" s="25"/>
      <c r="AN149" s="25"/>
      <c r="AO149" s="25"/>
      <c r="AP149" s="25"/>
    </row>
    <row r="150" spans="12:42" x14ac:dyDescent="0.35">
      <c r="L150" s="24">
        <v>46</v>
      </c>
      <c r="M150" s="94"/>
      <c r="N150" s="94"/>
      <c r="O150" s="94"/>
      <c r="P150" s="94"/>
      <c r="Q150" s="94"/>
      <c r="R150" s="94"/>
      <c r="S150" s="94"/>
      <c r="T150" s="94"/>
      <c r="U150" s="94"/>
      <c r="V150" s="94"/>
      <c r="W150" s="94"/>
      <c r="X150" s="94"/>
      <c r="Y150" s="94"/>
      <c r="Z150" s="94"/>
      <c r="AA150" s="94"/>
      <c r="AB150" s="103"/>
      <c r="AC150" s="103"/>
      <c r="AD150" s="103"/>
      <c r="AE150" s="103"/>
      <c r="AF150" s="103"/>
      <c r="AG150" s="25"/>
      <c r="AH150" s="25"/>
      <c r="AI150" s="25"/>
      <c r="AJ150" s="25"/>
      <c r="AK150" s="25"/>
      <c r="AL150" s="25"/>
      <c r="AM150" s="25"/>
      <c r="AN150" s="25"/>
      <c r="AO150" s="25"/>
      <c r="AP150" s="25"/>
    </row>
    <row r="151" spans="12:42" x14ac:dyDescent="0.35">
      <c r="L151" s="24">
        <v>47</v>
      </c>
      <c r="M151" s="94"/>
      <c r="N151" s="94"/>
      <c r="O151" s="94"/>
      <c r="P151" s="94"/>
      <c r="Q151" s="94"/>
      <c r="R151" s="94"/>
      <c r="S151" s="94"/>
      <c r="T151" s="94"/>
      <c r="U151" s="94"/>
      <c r="V151" s="94"/>
      <c r="W151" s="94"/>
      <c r="X151" s="94"/>
      <c r="Y151" s="94"/>
      <c r="Z151" s="94"/>
      <c r="AA151" s="94"/>
      <c r="AB151" s="103"/>
      <c r="AC151" s="103"/>
      <c r="AD151" s="103"/>
      <c r="AE151" s="103"/>
      <c r="AF151" s="103"/>
      <c r="AG151" s="25"/>
      <c r="AH151" s="25"/>
      <c r="AI151" s="25"/>
      <c r="AJ151" s="25"/>
      <c r="AK151" s="25"/>
      <c r="AL151" s="25"/>
      <c r="AM151" s="25"/>
      <c r="AN151" s="25"/>
      <c r="AO151" s="25"/>
      <c r="AP151" s="25"/>
    </row>
    <row r="152" spans="12:42" x14ac:dyDescent="0.35">
      <c r="L152" s="24">
        <v>48</v>
      </c>
      <c r="M152" s="94"/>
      <c r="N152" s="94"/>
      <c r="O152" s="94"/>
      <c r="P152" s="94"/>
      <c r="Q152" s="94"/>
      <c r="R152" s="94"/>
      <c r="S152" s="94"/>
      <c r="T152" s="94"/>
      <c r="U152" s="94"/>
      <c r="V152" s="94"/>
      <c r="W152" s="94"/>
      <c r="X152" s="94"/>
      <c r="Y152" s="94"/>
      <c r="Z152" s="94"/>
      <c r="AA152" s="94"/>
      <c r="AB152" s="103"/>
      <c r="AC152" s="103"/>
      <c r="AD152" s="103"/>
      <c r="AE152" s="103"/>
      <c r="AF152" s="103"/>
      <c r="AG152" s="25"/>
      <c r="AH152" s="25"/>
      <c r="AI152" s="25"/>
      <c r="AJ152" s="25"/>
      <c r="AK152" s="25"/>
      <c r="AL152" s="25"/>
      <c r="AM152" s="25"/>
      <c r="AN152" s="25"/>
      <c r="AO152" s="25"/>
      <c r="AP152" s="25"/>
    </row>
    <row r="153" spans="12:42" x14ac:dyDescent="0.35">
      <c r="L153" s="24">
        <v>49</v>
      </c>
      <c r="M153" s="94"/>
      <c r="N153" s="94"/>
      <c r="O153" s="94"/>
      <c r="P153" s="94"/>
      <c r="Q153" s="94"/>
      <c r="R153" s="94"/>
      <c r="S153" s="94"/>
      <c r="T153" s="94"/>
      <c r="U153" s="94"/>
      <c r="V153" s="94"/>
      <c r="W153" s="94"/>
      <c r="X153" s="94"/>
      <c r="Y153" s="94"/>
      <c r="Z153" s="94"/>
      <c r="AA153" s="94"/>
      <c r="AB153" s="103"/>
      <c r="AC153" s="103"/>
      <c r="AD153" s="103"/>
      <c r="AE153" s="103"/>
      <c r="AF153" s="103"/>
      <c r="AG153" s="25"/>
      <c r="AH153" s="25"/>
      <c r="AI153" s="25"/>
      <c r="AJ153" s="25"/>
      <c r="AK153" s="25"/>
      <c r="AL153" s="25"/>
      <c r="AM153" s="25"/>
      <c r="AN153" s="25"/>
      <c r="AO153" s="25"/>
      <c r="AP153" s="25"/>
    </row>
    <row r="154" spans="12:42" x14ac:dyDescent="0.35">
      <c r="L154" s="24">
        <v>50</v>
      </c>
      <c r="M154" s="94"/>
      <c r="N154" s="94"/>
      <c r="O154" s="94"/>
      <c r="P154" s="94"/>
      <c r="Q154" s="94"/>
      <c r="R154" s="94"/>
      <c r="S154" s="94"/>
      <c r="T154" s="94"/>
      <c r="U154" s="94"/>
      <c r="V154" s="94"/>
      <c r="W154" s="94"/>
      <c r="X154" s="94"/>
      <c r="Y154" s="94"/>
      <c r="Z154" s="94"/>
      <c r="AA154" s="94"/>
      <c r="AB154" s="103"/>
      <c r="AC154" s="103"/>
      <c r="AD154" s="103"/>
      <c r="AE154" s="103"/>
      <c r="AF154" s="103"/>
      <c r="AG154" s="25"/>
      <c r="AH154" s="25"/>
      <c r="AI154" s="25"/>
      <c r="AJ154" s="25"/>
      <c r="AK154" s="25"/>
      <c r="AL154" s="25"/>
      <c r="AM154" s="25"/>
      <c r="AN154" s="25"/>
      <c r="AO154" s="25"/>
      <c r="AP154" s="25"/>
    </row>
    <row r="155" spans="12:42" x14ac:dyDescent="0.35">
      <c r="L155" s="24">
        <v>51</v>
      </c>
      <c r="M155" s="94"/>
      <c r="N155" s="94"/>
      <c r="O155" s="94"/>
      <c r="P155" s="94"/>
      <c r="Q155" s="94"/>
      <c r="R155" s="94"/>
      <c r="S155" s="94"/>
      <c r="T155" s="94"/>
      <c r="U155" s="94"/>
      <c r="V155" s="94"/>
      <c r="W155" s="94"/>
      <c r="X155" s="94"/>
      <c r="Y155" s="94"/>
      <c r="Z155" s="94"/>
      <c r="AA155" s="94"/>
      <c r="AB155" s="103"/>
      <c r="AC155" s="103"/>
      <c r="AD155" s="103"/>
      <c r="AE155" s="103"/>
      <c r="AF155" s="103"/>
      <c r="AG155" s="25"/>
      <c r="AH155" s="25"/>
      <c r="AI155" s="25"/>
      <c r="AJ155" s="25"/>
      <c r="AK155" s="25"/>
      <c r="AL155" s="25"/>
      <c r="AM155" s="25"/>
      <c r="AN155" s="25"/>
      <c r="AO155" s="25"/>
      <c r="AP155" s="25"/>
    </row>
    <row r="156" spans="12:42" x14ac:dyDescent="0.35">
      <c r="L156" s="24">
        <v>52</v>
      </c>
      <c r="M156" s="94"/>
      <c r="N156" s="94"/>
      <c r="O156" s="94"/>
      <c r="P156" s="94"/>
      <c r="Q156" s="94"/>
      <c r="R156" s="94"/>
      <c r="S156" s="94"/>
      <c r="T156" s="94"/>
      <c r="U156" s="94"/>
      <c r="V156" s="94"/>
      <c r="W156" s="94"/>
      <c r="X156" s="94"/>
      <c r="Y156" s="94"/>
      <c r="Z156" s="94"/>
      <c r="AA156" s="94"/>
      <c r="AB156" s="103"/>
      <c r="AC156" s="103"/>
      <c r="AD156" s="103"/>
      <c r="AE156" s="103"/>
      <c r="AF156" s="103"/>
      <c r="AG156" s="25"/>
      <c r="AH156" s="25"/>
      <c r="AI156" s="25"/>
      <c r="AJ156" s="25"/>
      <c r="AK156" s="25"/>
      <c r="AL156" s="25"/>
      <c r="AM156" s="25"/>
      <c r="AN156" s="25"/>
      <c r="AO156" s="25"/>
      <c r="AP156" s="25"/>
    </row>
    <row r="157" spans="12:42" x14ac:dyDescent="0.35">
      <c r="L157" s="24">
        <v>53</v>
      </c>
      <c r="M157" s="94"/>
      <c r="N157" s="94"/>
      <c r="O157" s="94"/>
      <c r="P157" s="94"/>
      <c r="Q157" s="94"/>
      <c r="R157" s="94"/>
      <c r="S157" s="94"/>
      <c r="T157" s="94"/>
      <c r="U157" s="94"/>
      <c r="V157" s="94"/>
      <c r="W157" s="94"/>
      <c r="X157" s="94"/>
      <c r="Y157" s="94"/>
      <c r="Z157" s="94"/>
      <c r="AA157" s="94"/>
      <c r="AB157" s="103"/>
      <c r="AC157" s="103"/>
      <c r="AD157" s="103"/>
      <c r="AE157" s="103"/>
      <c r="AF157" s="103"/>
      <c r="AG157" s="25"/>
      <c r="AH157" s="25"/>
      <c r="AI157" s="25"/>
      <c r="AJ157" s="25"/>
      <c r="AK157" s="25"/>
      <c r="AL157" s="25"/>
      <c r="AM157" s="25"/>
      <c r="AN157" s="25"/>
      <c r="AO157" s="25"/>
      <c r="AP157" s="25"/>
    </row>
    <row r="158" spans="12:42" x14ac:dyDescent="0.35">
      <c r="L158" s="24">
        <v>54</v>
      </c>
      <c r="M158" s="94"/>
      <c r="N158" s="94"/>
      <c r="O158" s="94"/>
      <c r="P158" s="94"/>
      <c r="Q158" s="94"/>
      <c r="R158" s="94"/>
      <c r="S158" s="94"/>
      <c r="T158" s="94"/>
      <c r="U158" s="94"/>
      <c r="V158" s="94"/>
      <c r="W158" s="94"/>
      <c r="X158" s="94"/>
      <c r="Y158" s="94"/>
      <c r="Z158" s="94"/>
      <c r="AA158" s="94"/>
      <c r="AB158" s="103"/>
      <c r="AC158" s="103"/>
      <c r="AD158" s="103"/>
      <c r="AE158" s="103"/>
      <c r="AF158" s="103"/>
      <c r="AG158" s="25"/>
      <c r="AH158" s="25"/>
      <c r="AI158" s="25"/>
      <c r="AJ158" s="25"/>
      <c r="AK158" s="25"/>
      <c r="AL158" s="25"/>
      <c r="AM158" s="25"/>
      <c r="AN158" s="25"/>
      <c r="AO158" s="25"/>
      <c r="AP158" s="25"/>
    </row>
    <row r="159" spans="12:42" x14ac:dyDescent="0.35">
      <c r="L159" s="24">
        <v>55</v>
      </c>
      <c r="M159" s="94"/>
      <c r="N159" s="94"/>
      <c r="O159" s="94"/>
      <c r="P159" s="94"/>
      <c r="Q159" s="94"/>
      <c r="R159" s="94"/>
      <c r="S159" s="94"/>
      <c r="T159" s="94"/>
      <c r="U159" s="94"/>
      <c r="V159" s="94"/>
      <c r="W159" s="94"/>
      <c r="X159" s="94"/>
      <c r="Y159" s="94"/>
      <c r="Z159" s="94"/>
      <c r="AA159" s="94"/>
      <c r="AB159" s="103"/>
      <c r="AC159" s="103"/>
      <c r="AD159" s="103"/>
      <c r="AE159" s="103"/>
      <c r="AF159" s="103"/>
      <c r="AG159" s="25"/>
      <c r="AH159" s="25"/>
      <c r="AI159" s="25"/>
      <c r="AJ159" s="25"/>
      <c r="AK159" s="25"/>
      <c r="AL159" s="25"/>
      <c r="AM159" s="25"/>
      <c r="AN159" s="25"/>
      <c r="AO159" s="25"/>
      <c r="AP159" s="25"/>
    </row>
    <row r="160" spans="12:42" x14ac:dyDescent="0.35">
      <c r="L160" s="24">
        <v>56</v>
      </c>
      <c r="M160" s="94"/>
      <c r="N160" s="94"/>
      <c r="O160" s="94"/>
      <c r="P160" s="94"/>
      <c r="Q160" s="94"/>
      <c r="R160" s="94"/>
      <c r="S160" s="94"/>
      <c r="T160" s="94"/>
      <c r="U160" s="94"/>
      <c r="V160" s="94"/>
      <c r="W160" s="94"/>
      <c r="X160" s="94"/>
      <c r="Y160" s="94"/>
      <c r="Z160" s="94"/>
      <c r="AA160" s="94"/>
      <c r="AB160" s="103"/>
      <c r="AC160" s="103"/>
      <c r="AD160" s="103"/>
      <c r="AE160" s="103"/>
      <c r="AF160" s="103"/>
      <c r="AG160" s="25"/>
      <c r="AH160" s="25"/>
      <c r="AI160" s="25"/>
      <c r="AJ160" s="25"/>
      <c r="AK160" s="25"/>
      <c r="AL160" s="25"/>
      <c r="AM160" s="25"/>
      <c r="AN160" s="25"/>
      <c r="AO160" s="25"/>
      <c r="AP160" s="25"/>
    </row>
    <row r="161" spans="12:42" x14ac:dyDescent="0.35">
      <c r="L161" s="24">
        <v>57</v>
      </c>
      <c r="M161" s="94"/>
      <c r="N161" s="94"/>
      <c r="O161" s="94"/>
      <c r="P161" s="94"/>
      <c r="Q161" s="94"/>
      <c r="R161" s="94"/>
      <c r="S161" s="94"/>
      <c r="T161" s="94"/>
      <c r="U161" s="94"/>
      <c r="V161" s="94"/>
      <c r="W161" s="94"/>
      <c r="X161" s="94"/>
      <c r="Y161" s="94"/>
      <c r="Z161" s="94"/>
      <c r="AA161" s="94"/>
      <c r="AB161" s="103"/>
      <c r="AC161" s="103"/>
      <c r="AD161" s="103"/>
      <c r="AE161" s="103"/>
      <c r="AF161" s="103"/>
      <c r="AG161" s="25"/>
      <c r="AH161" s="25"/>
      <c r="AI161" s="25"/>
      <c r="AJ161" s="25"/>
      <c r="AK161" s="25"/>
      <c r="AL161" s="25"/>
      <c r="AM161" s="25"/>
      <c r="AN161" s="25"/>
      <c r="AO161" s="25"/>
      <c r="AP161" s="25"/>
    </row>
    <row r="162" spans="12:42" x14ac:dyDescent="0.35">
      <c r="L162" s="24">
        <v>58</v>
      </c>
      <c r="M162" s="94"/>
      <c r="N162" s="94"/>
      <c r="O162" s="94"/>
      <c r="P162" s="94"/>
      <c r="Q162" s="94"/>
      <c r="R162" s="94"/>
      <c r="S162" s="94"/>
      <c r="T162" s="94"/>
      <c r="U162" s="94"/>
      <c r="V162" s="94"/>
      <c r="W162" s="94"/>
      <c r="X162" s="94"/>
      <c r="Y162" s="94"/>
      <c r="Z162" s="94"/>
      <c r="AA162" s="94"/>
      <c r="AB162" s="103"/>
      <c r="AC162" s="103"/>
      <c r="AD162" s="103"/>
      <c r="AE162" s="103"/>
      <c r="AF162" s="103"/>
      <c r="AG162" s="25"/>
      <c r="AH162" s="25"/>
      <c r="AI162" s="25"/>
      <c r="AJ162" s="25"/>
      <c r="AK162" s="25"/>
      <c r="AL162" s="25"/>
      <c r="AM162" s="25"/>
      <c r="AN162" s="25"/>
      <c r="AO162" s="25"/>
      <c r="AP162" s="25"/>
    </row>
    <row r="163" spans="12:42" x14ac:dyDescent="0.35">
      <c r="L163" s="24">
        <v>59</v>
      </c>
      <c r="M163" s="94"/>
      <c r="N163" s="94"/>
      <c r="O163" s="94"/>
      <c r="P163" s="94"/>
      <c r="Q163" s="94"/>
      <c r="R163" s="94"/>
      <c r="S163" s="94"/>
      <c r="T163" s="94"/>
      <c r="U163" s="94"/>
      <c r="V163" s="94"/>
      <c r="W163" s="94"/>
      <c r="X163" s="94"/>
      <c r="Y163" s="94"/>
      <c r="Z163" s="94"/>
      <c r="AA163" s="94"/>
      <c r="AB163" s="103"/>
      <c r="AC163" s="103"/>
      <c r="AD163" s="103"/>
      <c r="AE163" s="103"/>
      <c r="AF163" s="103"/>
      <c r="AG163" s="25"/>
      <c r="AH163" s="25"/>
      <c r="AI163" s="25"/>
      <c r="AJ163" s="25"/>
      <c r="AK163" s="25"/>
      <c r="AL163" s="25"/>
      <c r="AM163" s="25"/>
      <c r="AN163" s="25"/>
      <c r="AO163" s="25"/>
      <c r="AP163" s="25"/>
    </row>
    <row r="164" spans="12:42" x14ac:dyDescent="0.35">
      <c r="L164" s="24">
        <v>60</v>
      </c>
      <c r="M164" s="94"/>
      <c r="N164" s="94"/>
      <c r="O164" s="94"/>
      <c r="P164" s="94"/>
      <c r="Q164" s="94"/>
      <c r="R164" s="94"/>
      <c r="S164" s="94"/>
      <c r="T164" s="94"/>
      <c r="U164" s="94"/>
      <c r="V164" s="94"/>
      <c r="W164" s="94"/>
      <c r="X164" s="94"/>
      <c r="Y164" s="94"/>
      <c r="Z164" s="94"/>
      <c r="AA164" s="94"/>
      <c r="AB164" s="103"/>
      <c r="AC164" s="103"/>
      <c r="AD164" s="103"/>
      <c r="AE164" s="103"/>
      <c r="AF164" s="103"/>
      <c r="AG164" s="25"/>
      <c r="AH164" s="25"/>
      <c r="AI164" s="25"/>
      <c r="AJ164" s="25"/>
      <c r="AK164" s="25"/>
      <c r="AL164" s="25"/>
      <c r="AM164" s="25"/>
      <c r="AN164" s="25"/>
      <c r="AO164" s="25"/>
      <c r="AP164" s="25"/>
    </row>
    <row r="165" spans="12:42" x14ac:dyDescent="0.35">
      <c r="L165" s="24" t="str">
        <f t="shared" ref="L165:L174" si="3">IF(AND(ROW(K49)+12&gt;=$G$11,ROW(K49)+12&lt;=$I$11),ROW(K49)+12,"")</f>
        <v/>
      </c>
      <c r="M165" s="26"/>
      <c r="N165" s="104"/>
      <c r="O165" s="104"/>
      <c r="P165" s="104"/>
      <c r="Q165" s="104"/>
      <c r="R165" s="104"/>
      <c r="S165" s="104"/>
      <c r="T165" s="104"/>
      <c r="U165" s="104"/>
      <c r="V165" s="104"/>
      <c r="W165" s="26"/>
      <c r="X165" s="26"/>
      <c r="Y165" s="26"/>
      <c r="Z165" s="26"/>
      <c r="AA165" s="26"/>
      <c r="AB165" s="105"/>
      <c r="AC165" s="105"/>
      <c r="AD165" s="105"/>
      <c r="AE165" s="105"/>
      <c r="AF165" s="105"/>
      <c r="AG165" s="25"/>
      <c r="AH165" s="25"/>
      <c r="AI165" s="25"/>
      <c r="AJ165" s="25"/>
      <c r="AK165" s="25"/>
      <c r="AL165" s="25"/>
      <c r="AM165" s="25"/>
      <c r="AN165" s="25"/>
      <c r="AO165" s="25"/>
      <c r="AP165" s="25"/>
    </row>
    <row r="166" spans="12:42" x14ac:dyDescent="0.35">
      <c r="L166" s="24" t="str">
        <f t="shared" si="3"/>
        <v/>
      </c>
      <c r="M166" s="26"/>
      <c r="N166" s="104"/>
      <c r="O166" s="104"/>
      <c r="P166" s="104"/>
      <c r="Q166" s="104"/>
      <c r="R166" s="104"/>
      <c r="S166" s="104"/>
      <c r="T166" s="104"/>
      <c r="U166" s="104"/>
      <c r="V166" s="104"/>
      <c r="W166" s="26"/>
      <c r="X166" s="26"/>
      <c r="Y166" s="26"/>
      <c r="Z166" s="26"/>
      <c r="AA166" s="26"/>
      <c r="AB166" s="105"/>
      <c r="AC166" s="105"/>
      <c r="AD166" s="105"/>
      <c r="AE166" s="105"/>
      <c r="AF166" s="105"/>
      <c r="AG166" s="25"/>
      <c r="AH166" s="25"/>
      <c r="AI166" s="25"/>
      <c r="AJ166" s="25"/>
      <c r="AK166" s="25"/>
      <c r="AL166" s="25"/>
      <c r="AM166" s="25"/>
      <c r="AN166" s="25"/>
      <c r="AO166" s="25"/>
      <c r="AP166" s="25"/>
    </row>
    <row r="167" spans="12:42" x14ac:dyDescent="0.35">
      <c r="L167" s="24" t="str">
        <f t="shared" si="3"/>
        <v/>
      </c>
      <c r="M167" s="26"/>
      <c r="N167" s="104"/>
      <c r="O167" s="104"/>
      <c r="P167" s="104"/>
      <c r="Q167" s="104"/>
      <c r="R167" s="104"/>
      <c r="S167" s="104"/>
      <c r="T167" s="104"/>
      <c r="U167" s="104"/>
      <c r="V167" s="104"/>
      <c r="W167" s="26"/>
      <c r="X167" s="26"/>
      <c r="Y167" s="26"/>
      <c r="Z167" s="26"/>
      <c r="AA167" s="26"/>
      <c r="AB167" s="105"/>
      <c r="AC167" s="105"/>
      <c r="AD167" s="105"/>
      <c r="AE167" s="105"/>
      <c r="AF167" s="105"/>
      <c r="AG167" s="25"/>
      <c r="AH167" s="25"/>
      <c r="AI167" s="25"/>
      <c r="AJ167" s="25"/>
      <c r="AK167" s="25"/>
      <c r="AL167" s="25"/>
      <c r="AM167" s="25"/>
      <c r="AN167" s="25"/>
      <c r="AO167" s="25"/>
      <c r="AP167" s="25"/>
    </row>
    <row r="168" spans="12:42" x14ac:dyDescent="0.35">
      <c r="L168" s="24" t="str">
        <f t="shared" si="3"/>
        <v/>
      </c>
      <c r="M168" s="26"/>
      <c r="N168" s="104"/>
      <c r="O168" s="104"/>
      <c r="P168" s="104"/>
      <c r="Q168" s="104"/>
      <c r="R168" s="104"/>
      <c r="S168" s="104"/>
      <c r="T168" s="104"/>
      <c r="U168" s="104"/>
      <c r="V168" s="104"/>
      <c r="W168" s="26"/>
      <c r="X168" s="26"/>
      <c r="Y168" s="26"/>
      <c r="Z168" s="26"/>
      <c r="AA168" s="26"/>
      <c r="AB168" s="105"/>
      <c r="AC168" s="105"/>
      <c r="AD168" s="105"/>
      <c r="AE168" s="105"/>
      <c r="AF168" s="105"/>
      <c r="AG168" s="25"/>
      <c r="AH168" s="25"/>
      <c r="AI168" s="25"/>
      <c r="AJ168" s="25"/>
      <c r="AK168" s="25"/>
      <c r="AL168" s="25"/>
      <c r="AM168" s="25"/>
      <c r="AN168" s="25"/>
      <c r="AO168" s="25"/>
      <c r="AP168" s="25"/>
    </row>
    <row r="169" spans="12:42" x14ac:dyDescent="0.35">
      <c r="L169" s="24" t="str">
        <f t="shared" si="3"/>
        <v/>
      </c>
      <c r="M169" s="26"/>
      <c r="N169" s="104"/>
      <c r="O169" s="104"/>
      <c r="P169" s="104"/>
      <c r="Q169" s="104"/>
      <c r="R169" s="105"/>
      <c r="S169" s="105"/>
      <c r="T169" s="105"/>
      <c r="U169" s="105"/>
      <c r="V169" s="105"/>
      <c r="W169" s="105"/>
      <c r="X169" s="105"/>
      <c r="Y169" s="105"/>
      <c r="Z169" s="105"/>
      <c r="AA169" s="105"/>
      <c r="AB169" s="105"/>
      <c r="AC169" s="105"/>
      <c r="AD169" s="105"/>
      <c r="AE169" s="105"/>
      <c r="AF169" s="105"/>
      <c r="AG169" s="25"/>
      <c r="AH169" s="25"/>
      <c r="AI169" s="25"/>
      <c r="AJ169" s="25"/>
      <c r="AK169" s="25"/>
      <c r="AL169" s="25"/>
      <c r="AM169" s="25"/>
      <c r="AN169" s="25"/>
      <c r="AO169" s="25"/>
      <c r="AP169" s="25"/>
    </row>
    <row r="170" spans="12:42" x14ac:dyDescent="0.35">
      <c r="L170" s="24" t="str">
        <f t="shared" si="3"/>
        <v/>
      </c>
      <c r="M170" s="105"/>
      <c r="N170" s="105"/>
      <c r="O170" s="105"/>
      <c r="P170" s="105"/>
      <c r="Q170" s="105"/>
      <c r="R170" s="105"/>
      <c r="S170" s="105"/>
      <c r="T170" s="105"/>
      <c r="U170" s="105"/>
      <c r="V170" s="105"/>
      <c r="W170" s="105"/>
      <c r="X170" s="105"/>
      <c r="Y170" s="105"/>
      <c r="Z170" s="105"/>
      <c r="AA170" s="105"/>
      <c r="AB170" s="105"/>
      <c r="AC170" s="105"/>
      <c r="AD170" s="105"/>
      <c r="AE170" s="105"/>
      <c r="AF170" s="105"/>
      <c r="AG170" s="25"/>
      <c r="AH170" s="25"/>
      <c r="AI170" s="25"/>
      <c r="AJ170" s="25"/>
      <c r="AK170" s="25"/>
      <c r="AL170" s="25"/>
      <c r="AM170" s="25"/>
      <c r="AN170" s="25"/>
      <c r="AO170" s="25"/>
      <c r="AP170" s="25"/>
    </row>
    <row r="171" spans="12:42" x14ac:dyDescent="0.35">
      <c r="L171" s="24" t="str">
        <f t="shared" si="3"/>
        <v/>
      </c>
      <c r="M171" s="105"/>
      <c r="N171" s="105"/>
      <c r="O171" s="105"/>
      <c r="P171" s="105"/>
      <c r="Q171" s="105"/>
      <c r="R171" s="105"/>
      <c r="S171" s="105"/>
      <c r="T171" s="105"/>
      <c r="U171" s="105"/>
      <c r="V171" s="105"/>
      <c r="W171" s="105"/>
      <c r="X171" s="105"/>
      <c r="Y171" s="105"/>
      <c r="Z171" s="105"/>
      <c r="AA171" s="105"/>
      <c r="AB171" s="105"/>
      <c r="AC171" s="105"/>
      <c r="AD171" s="105"/>
      <c r="AE171" s="105"/>
      <c r="AF171" s="105"/>
      <c r="AG171" s="25"/>
      <c r="AH171" s="25"/>
      <c r="AI171" s="25"/>
      <c r="AJ171" s="25"/>
      <c r="AK171" s="25"/>
      <c r="AL171" s="25"/>
      <c r="AM171" s="25"/>
      <c r="AN171" s="25"/>
      <c r="AO171" s="25"/>
      <c r="AP171" s="25"/>
    </row>
    <row r="172" spans="12:42" x14ac:dyDescent="0.35">
      <c r="L172" s="24" t="str">
        <f t="shared" si="3"/>
        <v/>
      </c>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row>
    <row r="173" spans="12:42" x14ac:dyDescent="0.35">
      <c r="L173" s="24" t="str">
        <f t="shared" si="3"/>
        <v/>
      </c>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row>
    <row r="174" spans="12:42" x14ac:dyDescent="0.35">
      <c r="L174" s="24" t="str">
        <f t="shared" si="3"/>
        <v/>
      </c>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row>
  </sheetData>
  <mergeCells count="21">
    <mergeCell ref="F9:I9"/>
    <mergeCell ref="L3:L4"/>
    <mergeCell ref="M3:AP3"/>
    <mergeCell ref="F8:I8"/>
    <mergeCell ref="F6:I6"/>
    <mergeCell ref="F7:I7"/>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s>
  <conditionalFormatting sqref="L39:L58">
    <cfRule type="cellIs" dxfId="8" priority="9" stopIfTrue="1" operator="lessThan">
      <formula>0</formula>
    </cfRule>
  </conditionalFormatting>
  <conditionalFormatting sqref="AC8:AP52">
    <cfRule type="cellIs" dxfId="7" priority="8" operator="equal">
      <formula>0</formula>
    </cfRule>
  </conditionalFormatting>
  <conditionalFormatting sqref="AB8:AB52">
    <cfRule type="cellIs" dxfId="6" priority="7" operator="equal">
      <formula>0</formula>
    </cfRule>
  </conditionalFormatting>
  <conditionalFormatting sqref="L64:L116">
    <cfRule type="cellIs" dxfId="5" priority="6" stopIfTrue="1" operator="lessThan">
      <formula>0</formula>
    </cfRule>
  </conditionalFormatting>
  <conditionalFormatting sqref="AC66:AP110">
    <cfRule type="cellIs" dxfId="4" priority="5" operator="equal">
      <formula>0</formula>
    </cfRule>
  </conditionalFormatting>
  <conditionalFormatting sqref="AB66:AB110">
    <cfRule type="cellIs" dxfId="3" priority="4" operator="equal">
      <formula>0</formula>
    </cfRule>
  </conditionalFormatting>
  <conditionalFormatting sqref="L122:L174">
    <cfRule type="cellIs" dxfId="2" priority="3" stopIfTrue="1" operator="lessThan">
      <formula>0</formula>
    </cfRule>
  </conditionalFormatting>
  <conditionalFormatting sqref="AC124:AP168">
    <cfRule type="cellIs" dxfId="1" priority="2" operator="equal">
      <formula>0</formula>
    </cfRule>
  </conditionalFormatting>
  <conditionalFormatting sqref="AB124:AB168">
    <cfRule type="cellIs" dxfId="0" priority="1" operator="equal">
      <formula>0</formula>
    </cfRule>
  </conditionalFormatting>
  <dataValidations disablePrompts="1" count="7">
    <dataValidation type="whole" operator="lessThanOrEqual" allowBlank="1" showInputMessage="1" showErrorMessage="1" sqref="F20:I20 F30:I33" xr:uid="{25A68145-D8C1-490C-B7D6-B36660A876AC}">
      <formula1>5000000000</formula1>
    </dataValidation>
    <dataValidation type="whole" allowBlank="1" showInputMessage="1" showErrorMessage="1" sqref="H12 G10:G11 I22 I10:I11 I34:I35 G34:G35 H36" xr:uid="{D826D884-20EE-4BCA-B8DC-1D5CAE107708}">
      <formula1>1</formula1>
      <formula2>30</formula2>
    </dataValidation>
    <dataValidation type="whole" allowBlank="1" showInputMessage="1" showErrorMessage="1" sqref="G23 I23" xr:uid="{3D70F8B4-0F37-4AFC-AAD3-26AA6487885D}">
      <formula1>18</formula1>
      <formula2>60</formula2>
    </dataValidation>
    <dataValidation type="whole" allowBlank="1" showInputMessage="1" showErrorMessage="1" sqref="H24" xr:uid="{6687E293-FC61-421E-81CB-AC7D1F200C55}">
      <formula1>19</formula1>
      <formula2>70</formula2>
    </dataValidation>
    <dataValidation type="list" allowBlank="1" showInputMessage="1" showErrorMessage="1" sqref="F6:I9 F18:I18" xr:uid="{B3BCB6F2-828F-4ED3-86EF-5D9E33D4289A}">
      <formula1>"Direct Sales, Digital, Bancassurance, Syariah, POAJK, SMLI (Timor Leste)"</formula1>
    </dataValidation>
    <dataValidation type="list" allowBlank="1" showInputMessage="1" showErrorMessage="1" sqref="F21:I21" xr:uid="{0962D189-E63B-4C4B-9E21-104FA22425A7}">
      <formula1>"Konvensional, Syariah"</formula1>
    </dataValidation>
    <dataValidation type="whole" allowBlank="1" showInputMessage="1" showErrorMessage="1" sqref="G22" xr:uid="{E7B2AB09-8EC7-4C22-8AE3-74EF5A1D2895}">
      <formula1>0</formula1>
      <formula2>30</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5" r:id="rId10" name="Check Box 3">
              <controlPr defaultSize="0" autoFill="0" autoLine="0" autoPict="0">
                <anchor moveWithCells="1">
                  <from>
                    <xdr:col>5</xdr:col>
                    <xdr:colOff>95250</xdr:colOff>
                    <xdr:row>2</xdr:row>
                    <xdr:rowOff>152400</xdr:rowOff>
                  </from>
                  <to>
                    <xdr:col>6</xdr:col>
                    <xdr:colOff>209550</xdr:colOff>
                    <xdr:row>4</xdr:row>
                    <xdr:rowOff>0</xdr:rowOff>
                  </to>
                </anchor>
              </controlPr>
            </control>
          </mc:Choice>
        </mc:AlternateContent>
        <mc:AlternateContent xmlns:mc="http://schemas.openxmlformats.org/markup-compatibility/2006">
          <mc:Choice Requires="x14">
            <control shapeId="3076" r:id="rId11" name="Check Box 4">
              <controlPr defaultSize="0" autoFill="0" autoLine="0" autoPict="0">
                <anchor moveWithCells="1">
                  <from>
                    <xdr:col>6</xdr:col>
                    <xdr:colOff>476250</xdr:colOff>
                    <xdr:row>2</xdr:row>
                    <xdr:rowOff>152400</xdr:rowOff>
                  </from>
                  <to>
                    <xdr:col>7</xdr:col>
                    <xdr:colOff>590550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P52"/>
  <sheetViews>
    <sheetView showGridLines="0" zoomScale="90" zoomScaleNormal="90" workbookViewId="0">
      <pane ySplit="2" topLeftCell="A3" activePane="bottomLeft" state="frozen"/>
      <selection pane="bottomLeft"/>
    </sheetView>
  </sheetViews>
  <sheetFormatPr defaultColWidth="9" defaultRowHeight="14.5" x14ac:dyDescent="0.35"/>
  <cols>
    <col min="1" max="1" width="10.453125" style="1" bestFit="1" customWidth="1"/>
    <col min="2" max="7" width="20.7265625" style="2" bestFit="1" customWidth="1"/>
    <col min="8" max="11" width="20.7265625" style="2" customWidth="1"/>
    <col min="12" max="13" width="20.7265625" style="2" bestFit="1" customWidth="1"/>
    <col min="14" max="15" width="20.7265625" style="1" bestFit="1" customWidth="1"/>
    <col min="16" max="16" width="20.7265625" style="1" customWidth="1"/>
    <col min="17" max="16384" width="9" style="1"/>
  </cols>
  <sheetData>
    <row r="1" spans="1:42" x14ac:dyDescent="0.35">
      <c r="A1" s="1" t="s">
        <v>98</v>
      </c>
      <c r="B1" s="144" t="s">
        <v>33</v>
      </c>
      <c r="C1" s="144"/>
      <c r="D1" s="144"/>
      <c r="E1" s="144"/>
      <c r="F1" s="144"/>
      <c r="G1" s="144"/>
      <c r="H1" s="144"/>
      <c r="I1" s="144"/>
      <c r="J1" s="144"/>
      <c r="K1" s="144"/>
      <c r="L1" s="144"/>
      <c r="M1" s="144"/>
      <c r="N1" s="144"/>
      <c r="O1" s="144"/>
      <c r="P1" s="2"/>
    </row>
    <row r="2" spans="1:42" x14ac:dyDescent="0.35">
      <c r="B2" s="95">
        <f>IF('Spek Produk'!$F$9="Syariah",Medic!B21,Medic!B12)</f>
        <v>0</v>
      </c>
      <c r="C2" s="95">
        <f>IF('Spek Produk'!$F$9="Syariah",Medic!C21,Medic!C12)</f>
        <v>50000001</v>
      </c>
      <c r="D2" s="95">
        <f>IF('Spek Produk'!$F$9="Syariah",Medic!D21,Medic!D12)</f>
        <v>250000001</v>
      </c>
      <c r="E2" s="95">
        <f>IF('Spek Produk'!$F$9="Syariah",Medic!E21,Medic!E12)</f>
        <v>500000001</v>
      </c>
      <c r="F2" s="95">
        <f>IF('Spek Produk'!$F$9="Syariah",Medic!F21,Medic!F12)</f>
        <v>1000000001</v>
      </c>
      <c r="G2" s="95">
        <f>IF('Spek Produk'!$F$9="Syariah",Medic!G21,Medic!G12)</f>
        <v>1500000001</v>
      </c>
      <c r="H2" s="95">
        <f>IF('Spek Produk'!$F$9="Syariah",Medic!H21,Medic!H12)</f>
        <v>3000000001</v>
      </c>
      <c r="I2" s="95">
        <f>IF('Spek Produk'!$F$9="Syariah",Medic!I21,Medic!I12)</f>
        <v>4000000001</v>
      </c>
      <c r="J2" s="95">
        <f>IF('Spek Produk'!$F$9="Syariah",Medic!J21,Medic!J12)</f>
        <v>5000000001</v>
      </c>
      <c r="K2" s="95">
        <f>IF('Spek Produk'!$F$9="Syariah",Medic!K21,Medic!K12)</f>
        <v>7500000001</v>
      </c>
      <c r="L2" s="95">
        <f>IF('Spek Produk'!$F$9="Syariah",Medic!L21,Medic!L12)</f>
        <v>7500000001</v>
      </c>
      <c r="M2" s="3"/>
      <c r="N2" s="3"/>
      <c r="O2" s="3"/>
      <c r="P2" s="3"/>
      <c r="R2" s="1" t="s">
        <v>25</v>
      </c>
    </row>
    <row r="3" spans="1:42" ht="15" customHeight="1" x14ac:dyDescent="0.35">
      <c r="A3" s="2">
        <v>18</v>
      </c>
      <c r="B3" s="96" t="str">
        <f>IF('Spek Produk'!$F$9="Syariah",Medic!B22,Medic!B13)</f>
        <v>AA</v>
      </c>
      <c r="C3" s="96" t="str">
        <f>IF('Spek Produk'!$F$9="Syariah",Medic!C22,Medic!C13)</f>
        <v>AA</v>
      </c>
      <c r="D3" s="96" t="str">
        <f>IF('Spek Produk'!$F$9="Syariah",Medic!D22,Medic!D13)</f>
        <v>NM</v>
      </c>
      <c r="E3" s="96" t="str">
        <f>IF('Spek Produk'!$F$9="Syariah",Medic!E22,Medic!E13)</f>
        <v>NM</v>
      </c>
      <c r="F3" s="96" t="str">
        <f>IF('Spek Produk'!$F$9="Syariah",Medic!F22,Medic!F13)</f>
        <v>NM</v>
      </c>
      <c r="G3" s="96" t="str">
        <f>IF('Spek Produk'!$F$9="Syariah",Medic!G22,Medic!G13)</f>
        <v>B</v>
      </c>
      <c r="H3" s="96" t="str">
        <f>IF('Spek Produk'!$F$9="Syariah",Medic!H22,Medic!H13)</f>
        <v>C</v>
      </c>
      <c r="I3" s="96" t="str">
        <f>IF('Spek Produk'!$F$9="Syariah",Medic!I22,Medic!I13)</f>
        <v>D</v>
      </c>
      <c r="J3" s="96" t="str">
        <f>IF('Spek Produk'!$F$9="Syariah",Medic!J22,Medic!J13)</f>
        <v>E</v>
      </c>
      <c r="K3" s="96" t="str">
        <f>IF('Spek Produk'!$F$9="Syariah",Medic!K22,Medic!K13)</f>
        <v>E</v>
      </c>
      <c r="L3" s="96" t="str">
        <f>IF('Spek Produk'!$F$9="Syariah",Medic!L22,Medic!L13)</f>
        <v>E</v>
      </c>
      <c r="M3" s="96"/>
      <c r="N3" s="2"/>
      <c r="O3" s="2"/>
      <c r="P3" s="2"/>
      <c r="R3" s="101" t="s">
        <v>23</v>
      </c>
      <c r="S3" s="102" t="s">
        <v>24</v>
      </c>
      <c r="T3" s="146" t="s">
        <v>32</v>
      </c>
      <c r="U3" s="146"/>
      <c r="V3" s="146"/>
      <c r="W3" s="146"/>
      <c r="X3" s="146"/>
      <c r="Y3" s="146"/>
      <c r="Z3" s="146"/>
      <c r="AA3" s="146"/>
      <c r="AB3" s="146"/>
      <c r="AC3" s="146"/>
      <c r="AD3" s="146"/>
      <c r="AE3" s="146"/>
      <c r="AF3" s="146"/>
      <c r="AG3" s="146"/>
      <c r="AH3" s="146"/>
      <c r="AI3" s="146"/>
      <c r="AJ3" s="146"/>
      <c r="AK3" s="146"/>
      <c r="AL3" s="146"/>
      <c r="AM3" s="146"/>
      <c r="AN3" s="146"/>
      <c r="AO3" s="146"/>
      <c r="AP3" s="146"/>
    </row>
    <row r="4" spans="1:42" ht="15" customHeight="1" x14ac:dyDescent="0.35">
      <c r="A4" s="2">
        <v>46</v>
      </c>
      <c r="B4" s="96" t="str">
        <f>IF('Spek Produk'!$F$9="Syariah",Medic!B23,Medic!B14)</f>
        <v>AA</v>
      </c>
      <c r="C4" s="96" t="str">
        <f>IF('Spek Produk'!$F$9="Syariah",Medic!C23,Medic!C14)</f>
        <v>AA</v>
      </c>
      <c r="D4" s="96" t="str">
        <f>IF('Spek Produk'!$F$9="Syariah",Medic!D23,Medic!D14)</f>
        <v>NM</v>
      </c>
      <c r="E4" s="96" t="str">
        <f>IF('Spek Produk'!$F$9="Syariah",Medic!E23,Medic!E14)</f>
        <v>NM</v>
      </c>
      <c r="F4" s="96" t="str">
        <f>IF('Spek Produk'!$F$9="Syariah",Medic!F23,Medic!F14)</f>
        <v>A</v>
      </c>
      <c r="G4" s="96" t="str">
        <f>IF('Spek Produk'!$F$9="Syariah",Medic!G23,Medic!G14)</f>
        <v>B</v>
      </c>
      <c r="H4" s="96" t="str">
        <f>IF('Spek Produk'!$F$9="Syariah",Medic!H23,Medic!H14)</f>
        <v>C</v>
      </c>
      <c r="I4" s="96" t="str">
        <f>IF('Spek Produk'!$F$9="Syariah",Medic!I23,Medic!I14)</f>
        <v>E</v>
      </c>
      <c r="J4" s="96" t="str">
        <f>IF('Spek Produk'!$F$9="Syariah",Medic!J23,Medic!J14)</f>
        <v>E</v>
      </c>
      <c r="K4" s="96" t="str">
        <f>IF('Spek Produk'!$F$9="Syariah",Medic!K23,Medic!K14)</f>
        <v>E</v>
      </c>
      <c r="L4" s="96" t="str">
        <f>IF('Spek Produk'!$F$9="Syariah",Medic!L23,Medic!L14)</f>
        <v>E</v>
      </c>
      <c r="M4" s="96"/>
      <c r="N4" s="2"/>
      <c r="O4" s="2"/>
      <c r="P4" s="2"/>
      <c r="R4" s="101" t="s">
        <v>21</v>
      </c>
      <c r="S4" s="102" t="s">
        <v>24</v>
      </c>
      <c r="T4" s="145" t="str">
        <f>"Non Medis (Mengisi "&amp;IF('Spek Produk'!F9="Konvensional","SPAJK","SPAJP")&amp;")."</f>
        <v>Non Medis (Mengisi SPAJK).</v>
      </c>
      <c r="U4" s="145"/>
      <c r="V4" s="145"/>
      <c r="W4" s="145"/>
      <c r="X4" s="145"/>
      <c r="Y4" s="145"/>
      <c r="Z4" s="145"/>
      <c r="AA4" s="145"/>
      <c r="AB4" s="145"/>
      <c r="AC4" s="145"/>
      <c r="AD4" s="145"/>
      <c r="AE4" s="145"/>
      <c r="AF4" s="145"/>
      <c r="AG4" s="145"/>
      <c r="AH4" s="145"/>
      <c r="AI4" s="145"/>
      <c r="AJ4" s="145"/>
      <c r="AK4" s="145"/>
      <c r="AL4" s="145"/>
      <c r="AM4" s="145"/>
      <c r="AN4" s="145"/>
      <c r="AO4" s="145"/>
      <c r="AP4" s="145"/>
    </row>
    <row r="5" spans="1:42" ht="15" customHeight="1" x14ac:dyDescent="0.35">
      <c r="A5" s="2">
        <v>51</v>
      </c>
      <c r="B5" s="96" t="str">
        <f>IF('Spek Produk'!$F$9="Syariah",Medic!B24,Medic!B15)</f>
        <v>NM</v>
      </c>
      <c r="C5" s="96" t="str">
        <f>IF('Spek Produk'!$F$9="Syariah",Medic!C24,Medic!C15)</f>
        <v>NM</v>
      </c>
      <c r="D5" s="96" t="str">
        <f>IF('Spek Produk'!$F$9="Syariah",Medic!D24,Medic!D15)</f>
        <v>NM</v>
      </c>
      <c r="E5" s="96" t="str">
        <f>IF('Spek Produk'!$F$9="Syariah",Medic!E24,Medic!E15)</f>
        <v>B</v>
      </c>
      <c r="F5" s="96" t="str">
        <f>IF('Spek Produk'!$F$9="Syariah",Medic!F24,Medic!F15)</f>
        <v>B</v>
      </c>
      <c r="G5" s="96" t="str">
        <f>IF('Spek Produk'!$F$9="Syariah",Medic!G24,Medic!G15)</f>
        <v>C</v>
      </c>
      <c r="H5" s="96" t="str">
        <f>IF('Spek Produk'!$F$9="Syariah",Medic!H24,Medic!H15)</f>
        <v>D</v>
      </c>
      <c r="I5" s="96" t="str">
        <f>IF('Spek Produk'!$F$9="Syariah",Medic!I24,Medic!I15)</f>
        <v>E</v>
      </c>
      <c r="J5" s="96" t="str">
        <f>IF('Spek Produk'!$F$9="Syariah",Medic!J24,Medic!J15)</f>
        <v>E</v>
      </c>
      <c r="K5" s="96" t="str">
        <f>IF('Spek Produk'!$F$9="Syariah",Medic!K24,Medic!K15)</f>
        <v>E</v>
      </c>
      <c r="L5" s="96" t="str">
        <f>IF('Spek Produk'!$F$9="Syariah",Medic!L24,Medic!L15)</f>
        <v>E</v>
      </c>
      <c r="M5" s="96"/>
      <c r="N5" s="2"/>
      <c r="O5" s="2"/>
      <c r="P5" s="2"/>
      <c r="R5" s="101" t="s">
        <v>22</v>
      </c>
      <c r="S5" s="102" t="s">
        <v>24</v>
      </c>
      <c r="T5" s="145" t="str">
        <f>IF('Spek Produk'!F9="Konvensional","SPAJK","SPAJP")&amp;", LPK, Urin Lengkap."</f>
        <v>SPAJK, LPK, Urin Lengkap.</v>
      </c>
      <c r="U5" s="145"/>
      <c r="V5" s="145"/>
      <c r="W5" s="145"/>
      <c r="X5" s="145"/>
      <c r="Y5" s="145"/>
      <c r="Z5" s="145"/>
      <c r="AA5" s="145"/>
      <c r="AB5" s="145"/>
      <c r="AC5" s="145"/>
      <c r="AD5" s="145"/>
      <c r="AE5" s="145"/>
      <c r="AF5" s="145"/>
      <c r="AG5" s="145"/>
      <c r="AH5" s="145"/>
      <c r="AI5" s="145"/>
      <c r="AJ5" s="145"/>
      <c r="AK5" s="145"/>
      <c r="AL5" s="145"/>
      <c r="AM5" s="145"/>
      <c r="AN5" s="145"/>
      <c r="AO5" s="145"/>
      <c r="AP5" s="145"/>
    </row>
    <row r="6" spans="1:42" ht="15" customHeight="1" x14ac:dyDescent="0.35">
      <c r="A6" s="2">
        <v>56</v>
      </c>
      <c r="B6" s="96" t="str">
        <f>IF('Spek Produk'!$F$9="Syariah",Medic!B25,Medic!B16)</f>
        <v>A</v>
      </c>
      <c r="C6" s="96" t="str">
        <f>IF('Spek Produk'!$F$9="Syariah",Medic!C25,Medic!C16)</f>
        <v>A</v>
      </c>
      <c r="D6" s="96" t="str">
        <f>IF('Spek Produk'!$F$9="Syariah",Medic!D25,Medic!D16)</f>
        <v>B</v>
      </c>
      <c r="E6" s="96" t="str">
        <f>IF('Spek Produk'!$F$9="Syariah",Medic!E25,Medic!E16)</f>
        <v>B</v>
      </c>
      <c r="F6" s="96" t="str">
        <f>IF('Spek Produk'!$F$9="Syariah",Medic!F25,Medic!F16)</f>
        <v>B</v>
      </c>
      <c r="G6" s="96" t="str">
        <f>IF('Spek Produk'!$F$9="Syariah",Medic!G25,Medic!G16)</f>
        <v>C</v>
      </c>
      <c r="H6" s="96" t="str">
        <f>IF('Spek Produk'!$F$9="Syariah",Medic!H25,Medic!H16)</f>
        <v>D</v>
      </c>
      <c r="I6" s="96" t="str">
        <f>IF('Spek Produk'!$F$9="Syariah",Medic!I25,Medic!I16)</f>
        <v>E</v>
      </c>
      <c r="J6" s="96" t="str">
        <f>IF('Spek Produk'!$F$9="Syariah",Medic!J25,Medic!J16)</f>
        <v>E</v>
      </c>
      <c r="K6" s="96" t="str">
        <f>IF('Spek Produk'!$F$9="Syariah",Medic!K25,Medic!K16)</f>
        <v>E</v>
      </c>
      <c r="L6" s="96" t="str">
        <f>IF('Spek Produk'!$F$9="Syariah",Medic!L25,Medic!L16)</f>
        <v>E</v>
      </c>
      <c r="M6" s="96"/>
      <c r="N6" s="2"/>
      <c r="O6" s="2"/>
      <c r="P6" s="2"/>
      <c r="R6" s="101" t="s">
        <v>20</v>
      </c>
      <c r="S6" s="102" t="s">
        <v>24</v>
      </c>
      <c r="T6" s="145" t="str">
        <f>IF('Spek Produk'!F9="Konvensional","SPAJK","SPAJP")&amp;", LPK, Urin Lengkap, Analisa Lemak Darah, Analisa Gula Darah, EKG, Rontgen Dada."</f>
        <v>SPAJK, LPK, Urin Lengkap, Analisa Lemak Darah, Analisa Gula Darah, EKG, Rontgen Dada.</v>
      </c>
      <c r="U6" s="145"/>
      <c r="V6" s="145"/>
      <c r="W6" s="145"/>
      <c r="X6" s="145"/>
      <c r="Y6" s="145"/>
      <c r="Z6" s="145"/>
      <c r="AA6" s="145"/>
      <c r="AB6" s="145"/>
      <c r="AC6" s="145"/>
      <c r="AD6" s="145"/>
      <c r="AE6" s="145"/>
      <c r="AF6" s="145"/>
      <c r="AG6" s="145"/>
      <c r="AH6" s="145"/>
      <c r="AI6" s="145"/>
      <c r="AJ6" s="145"/>
      <c r="AK6" s="145"/>
      <c r="AL6" s="145"/>
      <c r="AM6" s="145"/>
      <c r="AN6" s="145"/>
      <c r="AO6" s="145"/>
      <c r="AP6" s="145"/>
    </row>
    <row r="7" spans="1:42" ht="15" customHeight="1" x14ac:dyDescent="0.35">
      <c r="A7" s="2">
        <v>61</v>
      </c>
      <c r="B7" s="96" t="str">
        <f>IF('Spek Produk'!$F$9="Syariah",Medic!B26,Medic!B17)</f>
        <v>A</v>
      </c>
      <c r="C7" s="96" t="str">
        <f>IF('Spek Produk'!$F$9="Syariah",Medic!C26,Medic!C17)</f>
        <v>A</v>
      </c>
      <c r="D7" s="96" t="str">
        <f>IF('Spek Produk'!$F$9="Syariah",Medic!D26,Medic!D17)</f>
        <v>B</v>
      </c>
      <c r="E7" s="96" t="str">
        <f>IF('Spek Produk'!$F$9="Syariah",Medic!E26,Medic!E17)</f>
        <v>C</v>
      </c>
      <c r="F7" s="96" t="str">
        <f>IF('Spek Produk'!$F$9="Syariah",Medic!F26,Medic!F17)</f>
        <v>C</v>
      </c>
      <c r="G7" s="96" t="str">
        <f>IF('Spek Produk'!$F$9="Syariah",Medic!G26,Medic!G17)</f>
        <v>D</v>
      </c>
      <c r="H7" s="96" t="str">
        <f>IF('Spek Produk'!$F$9="Syariah",Medic!H26,Medic!H17)</f>
        <v>E</v>
      </c>
      <c r="I7" s="96" t="str">
        <f>IF('Spek Produk'!$F$9="Syariah",Medic!I26,Medic!I17)</f>
        <v>E</v>
      </c>
      <c r="J7" s="96" t="str">
        <f>IF('Spek Produk'!$F$9="Syariah",Medic!J26,Medic!J17)</f>
        <v>E</v>
      </c>
      <c r="K7" s="96" t="str">
        <f>IF('Spek Produk'!$F$9="Syariah",Medic!K26,Medic!K17)</f>
        <v>E</v>
      </c>
      <c r="L7" s="96" t="str">
        <f>IF('Spek Produk'!$F$9="Syariah",Medic!L26,Medic!L17)</f>
        <v>E</v>
      </c>
      <c r="M7" s="96"/>
      <c r="N7" s="2"/>
      <c r="O7" s="2"/>
      <c r="P7" s="2"/>
      <c r="R7" s="101" t="s">
        <v>19</v>
      </c>
      <c r="S7" s="102" t="s">
        <v>24</v>
      </c>
      <c r="T7" s="145" t="str">
        <f>IF('Spek Produk'!F9="Konvensional","SPAJK","SPAJP")&amp;", LPK, Urin Lengkap, Analisa Darah Lengkap, Rontgen Dada, Treadmill Test."</f>
        <v>SPAJK, LPK, Urin Lengkap, Analisa Darah Lengkap, Rontgen Dada, Treadmill Test.</v>
      </c>
      <c r="U7" s="145"/>
      <c r="V7" s="145"/>
      <c r="W7" s="145"/>
      <c r="X7" s="145"/>
      <c r="Y7" s="145"/>
      <c r="Z7" s="145"/>
      <c r="AA7" s="145"/>
      <c r="AB7" s="145"/>
      <c r="AC7" s="145"/>
      <c r="AD7" s="145"/>
      <c r="AE7" s="145"/>
      <c r="AF7" s="145"/>
      <c r="AG7" s="145"/>
      <c r="AH7" s="145"/>
      <c r="AI7" s="145"/>
      <c r="AJ7" s="145"/>
      <c r="AK7" s="145"/>
      <c r="AL7" s="145"/>
      <c r="AM7" s="145"/>
      <c r="AN7" s="145"/>
      <c r="AO7" s="145"/>
      <c r="AP7" s="145"/>
    </row>
    <row r="8" spans="1:42" ht="15" customHeight="1" x14ac:dyDescent="0.35">
      <c r="A8" s="2">
        <v>66</v>
      </c>
      <c r="B8" s="96" t="str">
        <f>IF('Spek Produk'!$F$9="Syariah",Medic!B27,Medic!B18)</f>
        <v>-</v>
      </c>
      <c r="C8" s="96" t="str">
        <f>IF('Spek Produk'!$F$9="Syariah",Medic!C27,Medic!C18)</f>
        <v>-</v>
      </c>
      <c r="D8" s="96" t="str">
        <f>IF('Spek Produk'!$F$9="Syariah",Medic!D27,Medic!D18)</f>
        <v>-</v>
      </c>
      <c r="E8" s="96" t="str">
        <f>IF('Spek Produk'!$F$9="Syariah",Medic!E27,Medic!E18)</f>
        <v>-</v>
      </c>
      <c r="F8" s="96" t="str">
        <f>IF('Spek Produk'!$F$9="Syariah",Medic!F27,Medic!F18)</f>
        <v>-</v>
      </c>
      <c r="G8" s="96" t="str">
        <f>IF('Spek Produk'!$F$9="Syariah",Medic!G27,Medic!G18)</f>
        <v>-</v>
      </c>
      <c r="H8" s="96" t="str">
        <f>IF('Spek Produk'!$F$9="Syariah",Medic!H27,Medic!H18)</f>
        <v>-</v>
      </c>
      <c r="I8" s="96" t="str">
        <f>IF('Spek Produk'!$F$9="Syariah",Medic!I27,Medic!I18)</f>
        <v>-</v>
      </c>
      <c r="J8" s="96" t="str">
        <f>IF('Spek Produk'!$F$9="Syariah",Medic!J27,Medic!J18)</f>
        <v>-</v>
      </c>
      <c r="K8" s="96" t="str">
        <f>IF('Spek Produk'!$F$9="Syariah",Medic!K27,Medic!K18)</f>
        <v>-</v>
      </c>
      <c r="L8" s="96" t="str">
        <f>IF('Spek Produk'!$F$9="Syariah",Medic!L27,Medic!L18)</f>
        <v>-</v>
      </c>
      <c r="N8" s="2"/>
      <c r="O8" s="2"/>
      <c r="P8" s="2"/>
      <c r="R8" s="101" t="s">
        <v>18</v>
      </c>
      <c r="S8" s="102" t="s">
        <v>24</v>
      </c>
      <c r="T8" s="145" t="str">
        <f>IF('Spek Produk'!F9="Konvensional","SPAJK","SPAJP")&amp;", LPK, Urin Lengkap, Analisa Darah Lengkap, Rontgen Dada, Treadmill Test, HBsAg (langsung periksa HBeAg jika hasil HBsAg positif) ."</f>
        <v>SPAJK, LPK, Urin Lengkap, Analisa Darah Lengkap, Rontgen Dada, Treadmill Test, HBsAg (langsung periksa HBeAg jika hasil HBsAg positif) .</v>
      </c>
      <c r="U8" s="145"/>
      <c r="V8" s="145"/>
      <c r="W8" s="145"/>
      <c r="X8" s="145"/>
      <c r="Y8" s="145"/>
      <c r="Z8" s="145"/>
      <c r="AA8" s="145"/>
      <c r="AB8" s="145"/>
      <c r="AC8" s="145"/>
      <c r="AD8" s="145"/>
      <c r="AE8" s="145"/>
      <c r="AF8" s="145"/>
      <c r="AG8" s="145"/>
      <c r="AH8" s="145"/>
      <c r="AI8" s="145"/>
      <c r="AJ8" s="145"/>
      <c r="AK8" s="145"/>
      <c r="AL8" s="145"/>
      <c r="AM8" s="145"/>
      <c r="AN8" s="145"/>
      <c r="AO8" s="145"/>
      <c r="AP8" s="145"/>
    </row>
    <row r="9" spans="1:42" ht="15" customHeight="1" x14ac:dyDescent="0.35">
      <c r="N9" s="97"/>
      <c r="O9" s="97"/>
      <c r="P9" s="97"/>
      <c r="R9" s="101" t="s">
        <v>17</v>
      </c>
      <c r="S9" s="102" t="s">
        <v>24</v>
      </c>
      <c r="T9" s="145" t="str">
        <f>IF('Spek Produk'!F9="Konvensional","SPAJK","SPAJP")&amp;", LPK, Urin Lengkap, Analisa Darah Lengkap, Rontgen Dada, Treadmill Test, "&amp;"HBsAg (langsung periksa HBeAg jika hasil HBsAg positif), AFP (Alpha Fetoprotein), "&amp;"CEA (Carcino Embrryonic Antigen), HIV Test, PSA (Prostate Specific Antigen untuk Laki-laki berusia lebih dari 45 tahun) / CA 125 (Carsinoma Antigen untuk Wanita berusia lebih dari 35 tahun)."</f>
        <v>SPAJK, LPK, Urin Lengkap, Analisa Darah Lengkap, Rontgen Dada, Treadmill Test, HBsAg (langsung periksa HBeAg jika hasil HBsAg positif), AFP (Alpha Fetoprotein), CEA (Carcino Embrryonic Antigen), HIV Test, PSA (Prostate Specific Antigen untuk Laki-laki berusia lebih dari 45 tahun) / CA 125 (Carsinoma Antigen untuk Wanita berusia lebih dari 35 tahun).</v>
      </c>
      <c r="U9" s="145"/>
      <c r="V9" s="145"/>
      <c r="W9" s="145"/>
      <c r="X9" s="145"/>
      <c r="Y9" s="145"/>
      <c r="Z9" s="145"/>
      <c r="AA9" s="145"/>
      <c r="AB9" s="145"/>
      <c r="AC9" s="145"/>
      <c r="AD9" s="145"/>
      <c r="AE9" s="145"/>
      <c r="AF9" s="145"/>
      <c r="AG9" s="145"/>
      <c r="AH9" s="145"/>
      <c r="AI9" s="145"/>
      <c r="AJ9" s="145"/>
      <c r="AK9" s="145"/>
      <c r="AL9" s="145"/>
      <c r="AM9" s="145"/>
      <c r="AN9" s="145"/>
      <c r="AO9" s="145"/>
      <c r="AP9" s="145"/>
    </row>
    <row r="10" spans="1:42" ht="15" customHeight="1" x14ac:dyDescent="0.35">
      <c r="N10" s="97"/>
      <c r="O10" s="97"/>
      <c r="P10" s="97"/>
      <c r="R10" s="101"/>
      <c r="S10" s="102"/>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row>
    <row r="11" spans="1:42" x14ac:dyDescent="0.35">
      <c r="A11" s="1" t="s">
        <v>97</v>
      </c>
      <c r="N11" s="97"/>
      <c r="O11" s="97"/>
      <c r="P11" s="97"/>
    </row>
    <row r="12" spans="1:42" x14ac:dyDescent="0.35">
      <c r="A12" s="98"/>
      <c r="B12" s="3">
        <v>0</v>
      </c>
      <c r="C12" s="3">
        <v>50000001</v>
      </c>
      <c r="D12" s="3">
        <v>250000001</v>
      </c>
      <c r="E12" s="3">
        <v>500000001</v>
      </c>
      <c r="F12" s="3">
        <v>1000000001</v>
      </c>
      <c r="G12" s="3">
        <v>1500000001</v>
      </c>
      <c r="H12" s="3">
        <v>3000000001</v>
      </c>
      <c r="I12" s="3">
        <v>4000000001</v>
      </c>
      <c r="J12" s="3">
        <v>5000000001</v>
      </c>
      <c r="K12" s="3">
        <v>7500000001</v>
      </c>
      <c r="L12" s="3">
        <v>7500000001</v>
      </c>
      <c r="N12" s="97"/>
      <c r="O12" s="97"/>
      <c r="P12" s="97"/>
    </row>
    <row r="13" spans="1:42" x14ac:dyDescent="0.35">
      <c r="A13" s="2">
        <v>18</v>
      </c>
      <c r="B13" s="96" t="s">
        <v>23</v>
      </c>
      <c r="C13" s="96" t="s">
        <v>23</v>
      </c>
      <c r="D13" s="96" t="s">
        <v>21</v>
      </c>
      <c r="E13" s="96" t="s">
        <v>21</v>
      </c>
      <c r="F13" s="96" t="s">
        <v>21</v>
      </c>
      <c r="G13" s="96" t="s">
        <v>20</v>
      </c>
      <c r="H13" s="96" t="s">
        <v>19</v>
      </c>
      <c r="I13" s="96" t="s">
        <v>18</v>
      </c>
      <c r="J13" s="99" t="s">
        <v>17</v>
      </c>
      <c r="K13" s="99" t="s">
        <v>17</v>
      </c>
      <c r="L13" s="99" t="s">
        <v>17</v>
      </c>
      <c r="M13" s="99"/>
      <c r="N13" s="100"/>
      <c r="O13" s="100"/>
      <c r="P13" s="100"/>
    </row>
    <row r="14" spans="1:42" x14ac:dyDescent="0.35">
      <c r="A14" s="2">
        <v>46</v>
      </c>
      <c r="B14" s="96" t="s">
        <v>23</v>
      </c>
      <c r="C14" s="96" t="s">
        <v>23</v>
      </c>
      <c r="D14" s="96" t="s">
        <v>21</v>
      </c>
      <c r="E14" s="96" t="s">
        <v>21</v>
      </c>
      <c r="F14" s="96" t="s">
        <v>22</v>
      </c>
      <c r="G14" s="96" t="s">
        <v>20</v>
      </c>
      <c r="H14" s="96" t="s">
        <v>19</v>
      </c>
      <c r="I14" s="96" t="s">
        <v>17</v>
      </c>
      <c r="J14" s="99" t="s">
        <v>17</v>
      </c>
      <c r="K14" s="99" t="s">
        <v>17</v>
      </c>
      <c r="L14" s="99" t="s">
        <v>17</v>
      </c>
      <c r="M14" s="99"/>
      <c r="N14" s="100"/>
      <c r="O14" s="100"/>
      <c r="P14" s="100"/>
    </row>
    <row r="15" spans="1:42" x14ac:dyDescent="0.35">
      <c r="A15" s="2">
        <v>51</v>
      </c>
      <c r="B15" s="96" t="s">
        <v>21</v>
      </c>
      <c r="C15" s="96" t="s">
        <v>21</v>
      </c>
      <c r="D15" s="96" t="s">
        <v>21</v>
      </c>
      <c r="E15" s="96" t="s">
        <v>20</v>
      </c>
      <c r="F15" s="96" t="s">
        <v>20</v>
      </c>
      <c r="G15" s="96" t="s">
        <v>19</v>
      </c>
      <c r="H15" s="96" t="s">
        <v>18</v>
      </c>
      <c r="I15" s="96" t="s">
        <v>17</v>
      </c>
      <c r="J15" s="99" t="s">
        <v>17</v>
      </c>
      <c r="K15" s="99" t="s">
        <v>17</v>
      </c>
      <c r="L15" s="99" t="s">
        <v>17</v>
      </c>
      <c r="M15" s="99"/>
      <c r="N15" s="100"/>
      <c r="O15" s="100"/>
      <c r="P15" s="100"/>
    </row>
    <row r="16" spans="1:42" x14ac:dyDescent="0.35">
      <c r="A16" s="2">
        <v>56</v>
      </c>
      <c r="B16" s="96" t="s">
        <v>22</v>
      </c>
      <c r="C16" s="96" t="s">
        <v>22</v>
      </c>
      <c r="D16" s="96" t="s">
        <v>20</v>
      </c>
      <c r="E16" s="96" t="s">
        <v>20</v>
      </c>
      <c r="F16" s="96" t="s">
        <v>20</v>
      </c>
      <c r="G16" s="96" t="s">
        <v>19</v>
      </c>
      <c r="H16" s="96" t="s">
        <v>18</v>
      </c>
      <c r="I16" s="96" t="s">
        <v>17</v>
      </c>
      <c r="J16" s="99" t="s">
        <v>17</v>
      </c>
      <c r="K16" s="99" t="s">
        <v>17</v>
      </c>
      <c r="L16" s="99" t="s">
        <v>17</v>
      </c>
      <c r="M16" s="99"/>
      <c r="N16" s="100"/>
      <c r="O16" s="100"/>
      <c r="P16" s="100"/>
    </row>
    <row r="17" spans="1:16" x14ac:dyDescent="0.35">
      <c r="A17" s="2">
        <v>61</v>
      </c>
      <c r="B17" s="96" t="s">
        <v>22</v>
      </c>
      <c r="C17" s="96" t="s">
        <v>22</v>
      </c>
      <c r="D17" s="96" t="s">
        <v>20</v>
      </c>
      <c r="E17" s="96" t="s">
        <v>19</v>
      </c>
      <c r="F17" s="96" t="s">
        <v>19</v>
      </c>
      <c r="G17" s="96" t="s">
        <v>18</v>
      </c>
      <c r="H17" s="96" t="s">
        <v>17</v>
      </c>
      <c r="I17" s="96" t="s">
        <v>17</v>
      </c>
      <c r="J17" s="99" t="s">
        <v>17</v>
      </c>
      <c r="K17" s="99" t="s">
        <v>17</v>
      </c>
      <c r="L17" s="99" t="s">
        <v>17</v>
      </c>
      <c r="M17" s="99"/>
      <c r="N17" s="100"/>
      <c r="O17" s="100"/>
      <c r="P17" s="100"/>
    </row>
    <row r="18" spans="1:16" x14ac:dyDescent="0.35">
      <c r="A18" s="2">
        <v>66</v>
      </c>
      <c r="B18" s="2" t="s">
        <v>34</v>
      </c>
      <c r="C18" s="2" t="s">
        <v>34</v>
      </c>
      <c r="D18" s="2" t="s">
        <v>34</v>
      </c>
      <c r="E18" s="2" t="s">
        <v>34</v>
      </c>
      <c r="F18" s="2" t="s">
        <v>34</v>
      </c>
      <c r="G18" s="2" t="s">
        <v>34</v>
      </c>
      <c r="H18" s="2" t="s">
        <v>34</v>
      </c>
      <c r="I18" s="2" t="s">
        <v>34</v>
      </c>
      <c r="J18" s="99" t="s">
        <v>34</v>
      </c>
      <c r="K18" s="99" t="s">
        <v>34</v>
      </c>
      <c r="L18" s="99" t="s">
        <v>34</v>
      </c>
      <c r="M18" s="99"/>
      <c r="N18" s="100"/>
      <c r="O18" s="100"/>
      <c r="P18" s="100"/>
    </row>
    <row r="19" spans="1:16" x14ac:dyDescent="0.35">
      <c r="G19" s="99"/>
      <c r="H19" s="99"/>
      <c r="I19" s="99"/>
      <c r="J19" s="99"/>
      <c r="K19" s="99"/>
      <c r="L19" s="99"/>
      <c r="M19" s="99"/>
      <c r="N19" s="100"/>
      <c r="O19" s="100"/>
      <c r="P19" s="100"/>
    </row>
    <row r="20" spans="1:16" x14ac:dyDescent="0.35">
      <c r="A20" s="1" t="s">
        <v>51</v>
      </c>
      <c r="G20" s="99"/>
      <c r="H20" s="99"/>
      <c r="I20" s="99"/>
      <c r="J20" s="99"/>
      <c r="K20" s="99"/>
      <c r="L20" s="99"/>
      <c r="M20" s="99"/>
      <c r="N20" s="100"/>
      <c r="O20" s="100"/>
      <c r="P20" s="100"/>
    </row>
    <row r="21" spans="1:16" x14ac:dyDescent="0.35">
      <c r="B21" s="3">
        <v>0</v>
      </c>
      <c r="C21" s="3">
        <v>50000001</v>
      </c>
      <c r="D21" s="3">
        <v>250000001</v>
      </c>
      <c r="E21" s="3">
        <v>500000001</v>
      </c>
      <c r="F21" s="3">
        <v>1000000001</v>
      </c>
      <c r="G21" s="3">
        <v>1500000001</v>
      </c>
      <c r="H21" s="3">
        <v>3000000001</v>
      </c>
      <c r="I21" s="3">
        <v>4000000001</v>
      </c>
      <c r="J21" s="3">
        <v>5000000001</v>
      </c>
      <c r="K21" s="3">
        <v>7500000001</v>
      </c>
      <c r="L21" s="3">
        <v>7500000001</v>
      </c>
      <c r="M21" s="99"/>
      <c r="N21" s="100"/>
      <c r="O21" s="100"/>
      <c r="P21" s="100"/>
    </row>
    <row r="22" spans="1:16" x14ac:dyDescent="0.35">
      <c r="A22" s="2">
        <v>18</v>
      </c>
      <c r="B22" s="96" t="s">
        <v>23</v>
      </c>
      <c r="C22" s="96" t="s">
        <v>23</v>
      </c>
      <c r="D22" s="96" t="s">
        <v>21</v>
      </c>
      <c r="E22" s="96" t="s">
        <v>21</v>
      </c>
      <c r="F22" s="96" t="s">
        <v>21</v>
      </c>
      <c r="G22" s="96" t="s">
        <v>20</v>
      </c>
      <c r="H22" s="96" t="s">
        <v>19</v>
      </c>
      <c r="I22" s="96" t="s">
        <v>18</v>
      </c>
      <c r="J22" s="99" t="s">
        <v>17</v>
      </c>
      <c r="K22" s="99" t="s">
        <v>17</v>
      </c>
      <c r="L22" s="99" t="s">
        <v>17</v>
      </c>
      <c r="M22" s="99"/>
      <c r="N22" s="100"/>
      <c r="O22" s="100"/>
      <c r="P22" s="100"/>
    </row>
    <row r="23" spans="1:16" x14ac:dyDescent="0.35">
      <c r="A23" s="2">
        <v>36</v>
      </c>
      <c r="B23" s="96" t="s">
        <v>23</v>
      </c>
      <c r="C23" s="96" t="s">
        <v>23</v>
      </c>
      <c r="D23" s="96" t="s">
        <v>21</v>
      </c>
      <c r="E23" s="96" t="s">
        <v>21</v>
      </c>
      <c r="F23" s="96" t="s">
        <v>22</v>
      </c>
      <c r="G23" s="96" t="s">
        <v>20</v>
      </c>
      <c r="H23" s="96" t="s">
        <v>19</v>
      </c>
      <c r="I23" s="96" t="s">
        <v>17</v>
      </c>
      <c r="J23" s="99" t="s">
        <v>17</v>
      </c>
      <c r="K23" s="99" t="s">
        <v>17</v>
      </c>
      <c r="L23" s="99" t="s">
        <v>17</v>
      </c>
      <c r="M23" s="99"/>
      <c r="N23" s="100"/>
      <c r="O23" s="100"/>
      <c r="P23" s="100"/>
    </row>
    <row r="24" spans="1:16" x14ac:dyDescent="0.35">
      <c r="A24" s="2">
        <v>46</v>
      </c>
      <c r="B24" s="96" t="s">
        <v>21</v>
      </c>
      <c r="C24" s="96" t="s">
        <v>21</v>
      </c>
      <c r="D24" s="96" t="s">
        <v>21</v>
      </c>
      <c r="E24" s="96" t="s">
        <v>20</v>
      </c>
      <c r="F24" s="96" t="s">
        <v>20</v>
      </c>
      <c r="G24" s="96" t="s">
        <v>19</v>
      </c>
      <c r="H24" s="96" t="s">
        <v>18</v>
      </c>
      <c r="I24" s="96" t="s">
        <v>17</v>
      </c>
      <c r="J24" s="99" t="s">
        <v>17</v>
      </c>
      <c r="K24" s="99" t="s">
        <v>17</v>
      </c>
      <c r="L24" s="99" t="s">
        <v>17</v>
      </c>
      <c r="M24" s="99"/>
      <c r="N24" s="100"/>
      <c r="O24" s="100"/>
      <c r="P24" s="100"/>
    </row>
    <row r="25" spans="1:16" x14ac:dyDescent="0.35">
      <c r="A25" s="2">
        <v>56</v>
      </c>
      <c r="B25" s="96" t="s">
        <v>22</v>
      </c>
      <c r="C25" s="96" t="s">
        <v>22</v>
      </c>
      <c r="D25" s="96" t="s">
        <v>20</v>
      </c>
      <c r="E25" s="96" t="s">
        <v>20</v>
      </c>
      <c r="F25" s="96" t="s">
        <v>20</v>
      </c>
      <c r="G25" s="96" t="s">
        <v>19</v>
      </c>
      <c r="H25" s="96" t="s">
        <v>18</v>
      </c>
      <c r="I25" s="96" t="s">
        <v>17</v>
      </c>
      <c r="J25" s="99" t="s">
        <v>17</v>
      </c>
      <c r="K25" s="99" t="s">
        <v>17</v>
      </c>
      <c r="L25" s="99" t="s">
        <v>17</v>
      </c>
      <c r="M25" s="99"/>
      <c r="N25" s="100"/>
      <c r="O25" s="100"/>
      <c r="P25" s="100"/>
    </row>
    <row r="26" spans="1:16" x14ac:dyDescent="0.35">
      <c r="A26" s="2">
        <v>61</v>
      </c>
      <c r="B26" s="96" t="s">
        <v>22</v>
      </c>
      <c r="C26" s="96" t="s">
        <v>22</v>
      </c>
      <c r="D26" s="96" t="s">
        <v>20</v>
      </c>
      <c r="E26" s="96" t="s">
        <v>19</v>
      </c>
      <c r="F26" s="96" t="s">
        <v>19</v>
      </c>
      <c r="G26" s="96" t="s">
        <v>18</v>
      </c>
      <c r="H26" s="96" t="s">
        <v>17</v>
      </c>
      <c r="I26" s="96" t="s">
        <v>17</v>
      </c>
      <c r="J26" s="99" t="s">
        <v>17</v>
      </c>
      <c r="K26" s="99" t="s">
        <v>17</v>
      </c>
      <c r="L26" s="99" t="s">
        <v>17</v>
      </c>
      <c r="M26" s="99"/>
      <c r="N26" s="100"/>
      <c r="O26" s="100"/>
      <c r="P26" s="100"/>
    </row>
    <row r="27" spans="1:16" x14ac:dyDescent="0.35">
      <c r="A27" s="2">
        <v>66</v>
      </c>
      <c r="B27" s="2" t="s">
        <v>34</v>
      </c>
      <c r="C27" s="2" t="s">
        <v>34</v>
      </c>
      <c r="D27" s="2" t="s">
        <v>34</v>
      </c>
      <c r="E27" s="2" t="s">
        <v>34</v>
      </c>
      <c r="F27" s="2" t="s">
        <v>34</v>
      </c>
      <c r="G27" s="2" t="s">
        <v>34</v>
      </c>
      <c r="H27" s="2" t="s">
        <v>34</v>
      </c>
      <c r="I27" s="2" t="s">
        <v>34</v>
      </c>
      <c r="J27" s="99" t="s">
        <v>34</v>
      </c>
      <c r="K27" s="99" t="s">
        <v>34</v>
      </c>
      <c r="L27" s="99" t="s">
        <v>34</v>
      </c>
      <c r="M27" s="99"/>
      <c r="N27" s="100"/>
      <c r="O27" s="100"/>
      <c r="P27" s="100"/>
    </row>
    <row r="28" spans="1:16" x14ac:dyDescent="0.35">
      <c r="G28" s="99"/>
      <c r="H28" s="99"/>
      <c r="I28" s="99"/>
      <c r="J28" s="99"/>
      <c r="K28" s="99"/>
      <c r="L28" s="99"/>
      <c r="M28" s="99"/>
      <c r="N28" s="100"/>
      <c r="O28" s="100"/>
      <c r="P28" s="100"/>
    </row>
    <row r="29" spans="1:16" x14ac:dyDescent="0.35">
      <c r="G29" s="99"/>
      <c r="H29" s="99"/>
      <c r="I29" s="99"/>
      <c r="J29" s="99"/>
      <c r="K29" s="99"/>
      <c r="L29" s="99"/>
      <c r="M29" s="99"/>
      <c r="N29" s="100"/>
      <c r="O29" s="100"/>
      <c r="P29" s="100"/>
    </row>
    <row r="30" spans="1:16" x14ac:dyDescent="0.35">
      <c r="G30" s="99"/>
      <c r="H30" s="99"/>
      <c r="I30" s="99"/>
      <c r="J30" s="99"/>
      <c r="K30" s="99"/>
      <c r="L30" s="99"/>
      <c r="M30" s="99"/>
      <c r="N30" s="100"/>
      <c r="O30" s="100"/>
      <c r="P30" s="100"/>
    </row>
    <row r="31" spans="1:16" x14ac:dyDescent="0.35">
      <c r="G31" s="99"/>
      <c r="H31" s="99"/>
      <c r="I31" s="99"/>
      <c r="J31" s="99"/>
      <c r="K31" s="99"/>
      <c r="L31" s="99"/>
      <c r="M31" s="99"/>
      <c r="N31" s="100"/>
      <c r="O31" s="100"/>
      <c r="P31" s="100"/>
    </row>
    <row r="32" spans="1:16" x14ac:dyDescent="0.35">
      <c r="G32" s="99"/>
      <c r="H32" s="99"/>
      <c r="I32" s="99"/>
      <c r="J32" s="99"/>
      <c r="K32" s="99"/>
      <c r="L32" s="99"/>
      <c r="M32" s="99"/>
      <c r="N32" s="100"/>
      <c r="O32" s="100"/>
      <c r="P32" s="100"/>
    </row>
    <row r="33" spans="7:16" x14ac:dyDescent="0.35">
      <c r="G33" s="99"/>
      <c r="H33" s="99"/>
      <c r="I33" s="99"/>
      <c r="J33" s="99"/>
      <c r="K33" s="99"/>
      <c r="L33" s="99"/>
      <c r="M33" s="99"/>
      <c r="N33" s="100"/>
      <c r="O33" s="100"/>
      <c r="P33" s="100"/>
    </row>
    <row r="34" spans="7:16" x14ac:dyDescent="0.35">
      <c r="G34" s="99"/>
      <c r="H34" s="99"/>
      <c r="I34" s="99"/>
      <c r="J34" s="99"/>
      <c r="K34" s="99"/>
      <c r="L34" s="99"/>
      <c r="M34" s="99"/>
      <c r="N34" s="100"/>
      <c r="O34" s="100"/>
      <c r="P34" s="100"/>
    </row>
    <row r="35" spans="7:16" x14ac:dyDescent="0.35">
      <c r="G35" s="99"/>
      <c r="H35" s="99"/>
      <c r="I35" s="99"/>
      <c r="J35" s="99"/>
      <c r="K35" s="99"/>
      <c r="L35" s="99"/>
      <c r="M35" s="99"/>
      <c r="N35" s="100"/>
      <c r="O35" s="100"/>
      <c r="P35" s="100"/>
    </row>
    <row r="36" spans="7:16" x14ac:dyDescent="0.35">
      <c r="G36" s="99"/>
      <c r="H36" s="99"/>
      <c r="I36" s="99"/>
      <c r="J36" s="99"/>
      <c r="K36" s="99"/>
      <c r="L36" s="99"/>
      <c r="M36" s="99"/>
      <c r="N36" s="100"/>
      <c r="O36" s="100"/>
      <c r="P36" s="100"/>
    </row>
    <row r="37" spans="7:16" x14ac:dyDescent="0.35">
      <c r="G37" s="99"/>
      <c r="H37" s="99"/>
      <c r="I37" s="99"/>
      <c r="J37" s="99"/>
      <c r="K37" s="99"/>
      <c r="L37" s="99"/>
      <c r="M37" s="99"/>
      <c r="N37" s="100"/>
      <c r="O37" s="100"/>
      <c r="P37" s="100"/>
    </row>
    <row r="38" spans="7:16" x14ac:dyDescent="0.35">
      <c r="G38" s="99"/>
      <c r="H38" s="99"/>
      <c r="I38" s="99"/>
      <c r="J38" s="99"/>
      <c r="K38" s="99"/>
      <c r="L38" s="99"/>
      <c r="M38" s="99"/>
      <c r="N38" s="100"/>
      <c r="O38" s="100"/>
      <c r="P38" s="100"/>
    </row>
    <row r="39" spans="7:16" x14ac:dyDescent="0.35">
      <c r="G39" s="99"/>
      <c r="H39" s="99"/>
      <c r="I39" s="99"/>
      <c r="J39" s="99"/>
      <c r="K39" s="99"/>
      <c r="L39" s="99"/>
      <c r="M39" s="99"/>
      <c r="N39" s="100"/>
      <c r="O39" s="100"/>
      <c r="P39" s="100"/>
    </row>
    <row r="40" spans="7:16" x14ac:dyDescent="0.35">
      <c r="G40" s="99"/>
      <c r="H40" s="99"/>
      <c r="I40" s="99"/>
      <c r="J40" s="99"/>
      <c r="K40" s="99"/>
      <c r="L40" s="99"/>
      <c r="M40" s="99"/>
      <c r="N40" s="100"/>
      <c r="O40" s="100"/>
      <c r="P40" s="100"/>
    </row>
    <row r="41" spans="7:16" x14ac:dyDescent="0.35">
      <c r="G41" s="99"/>
      <c r="H41" s="99"/>
      <c r="I41" s="99"/>
      <c r="J41" s="99"/>
      <c r="K41" s="99"/>
      <c r="L41" s="99"/>
      <c r="M41" s="99"/>
      <c r="N41" s="100"/>
      <c r="O41" s="100"/>
      <c r="P41" s="100"/>
    </row>
    <row r="42" spans="7:16" x14ac:dyDescent="0.35">
      <c r="G42" s="99"/>
      <c r="H42" s="99"/>
      <c r="I42" s="99"/>
      <c r="J42" s="99"/>
      <c r="K42" s="99"/>
      <c r="L42" s="99"/>
      <c r="M42" s="99"/>
      <c r="N42" s="100"/>
      <c r="O42" s="100"/>
      <c r="P42" s="100"/>
    </row>
    <row r="43" spans="7:16" x14ac:dyDescent="0.35">
      <c r="G43" s="99"/>
      <c r="H43" s="99"/>
      <c r="I43" s="99"/>
      <c r="J43" s="99"/>
      <c r="K43" s="99"/>
      <c r="L43" s="99"/>
      <c r="M43" s="99"/>
      <c r="N43" s="100"/>
      <c r="O43" s="100"/>
      <c r="P43" s="100"/>
    </row>
    <row r="44" spans="7:16" x14ac:dyDescent="0.35">
      <c r="G44" s="99"/>
      <c r="H44" s="99"/>
      <c r="I44" s="99"/>
      <c r="J44" s="99"/>
      <c r="K44" s="99"/>
      <c r="L44" s="99"/>
      <c r="M44" s="99"/>
      <c r="N44" s="100"/>
      <c r="O44" s="100"/>
      <c r="P44" s="100"/>
    </row>
    <row r="45" spans="7:16" x14ac:dyDescent="0.35">
      <c r="G45" s="99"/>
      <c r="H45" s="99"/>
      <c r="I45" s="99"/>
      <c r="J45" s="99"/>
      <c r="K45" s="99"/>
      <c r="L45" s="99"/>
      <c r="M45" s="99"/>
      <c r="N45" s="100"/>
      <c r="O45" s="100"/>
      <c r="P45" s="100"/>
    </row>
    <row r="46" spans="7:16" x14ac:dyDescent="0.35">
      <c r="G46" s="99"/>
      <c r="H46" s="99"/>
      <c r="I46" s="99"/>
      <c r="J46" s="99"/>
      <c r="K46" s="99"/>
      <c r="L46" s="99"/>
      <c r="M46" s="99"/>
      <c r="N46" s="100"/>
      <c r="O46" s="100"/>
      <c r="P46" s="100"/>
    </row>
    <row r="47" spans="7:16" x14ac:dyDescent="0.35">
      <c r="G47" s="99"/>
      <c r="H47" s="99"/>
      <c r="I47" s="99"/>
      <c r="J47" s="99"/>
      <c r="K47" s="99"/>
      <c r="L47" s="99"/>
      <c r="M47" s="99"/>
      <c r="N47" s="100"/>
      <c r="O47" s="100"/>
      <c r="P47" s="100"/>
    </row>
    <row r="48" spans="7:16" x14ac:dyDescent="0.35">
      <c r="G48" s="99"/>
      <c r="H48" s="99"/>
      <c r="I48" s="99"/>
      <c r="J48" s="99"/>
      <c r="K48" s="99"/>
      <c r="L48" s="99"/>
      <c r="M48" s="99"/>
      <c r="N48" s="100"/>
      <c r="O48" s="100"/>
      <c r="P48" s="100"/>
    </row>
    <row r="49" spans="7:16" x14ac:dyDescent="0.35">
      <c r="G49" s="99"/>
      <c r="H49" s="99"/>
      <c r="I49" s="99"/>
      <c r="J49" s="99"/>
      <c r="K49" s="99"/>
      <c r="L49" s="99"/>
      <c r="M49" s="99"/>
      <c r="N49" s="100"/>
      <c r="O49" s="100"/>
      <c r="P49" s="100"/>
    </row>
    <row r="50" spans="7:16" x14ac:dyDescent="0.35">
      <c r="G50" s="99"/>
      <c r="H50" s="99"/>
      <c r="I50" s="99"/>
      <c r="J50" s="99"/>
      <c r="K50" s="99"/>
      <c r="L50" s="99"/>
      <c r="M50" s="99"/>
      <c r="N50" s="100"/>
      <c r="O50" s="100"/>
      <c r="P50" s="100"/>
    </row>
    <row r="51" spans="7:16" x14ac:dyDescent="0.35">
      <c r="G51" s="99"/>
      <c r="H51" s="99"/>
      <c r="I51" s="99"/>
      <c r="J51" s="99"/>
      <c r="K51" s="99"/>
      <c r="L51" s="99"/>
      <c r="M51" s="99"/>
      <c r="N51" s="100"/>
      <c r="O51" s="100"/>
      <c r="P51" s="100"/>
    </row>
    <row r="52" spans="7:16" x14ac:dyDescent="0.35">
      <c r="G52" s="99"/>
      <c r="H52" s="99"/>
      <c r="I52" s="99"/>
      <c r="J52" s="99"/>
      <c r="K52" s="99"/>
      <c r="L52" s="99"/>
      <c r="M52" s="99"/>
      <c r="N52" s="100"/>
      <c r="O52" s="100"/>
      <c r="P52" s="100"/>
    </row>
  </sheetData>
  <sheetProtection selectLockedCells="1" selectUnlockedCells="1"/>
  <mergeCells count="9">
    <mergeCell ref="B1:O1"/>
    <mergeCell ref="T10:AP10"/>
    <mergeCell ref="T8:AP8"/>
    <mergeCell ref="T9:AP9"/>
    <mergeCell ref="T3:AP3"/>
    <mergeCell ref="T4:AP4"/>
    <mergeCell ref="T5:AP5"/>
    <mergeCell ref="T6:AP6"/>
    <mergeCell ref="T7:AP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5"/>
    <pageSetUpPr fitToPage="1"/>
  </sheetPr>
  <dimension ref="B3:M69"/>
  <sheetViews>
    <sheetView showGridLines="0" tabSelected="1" zoomScale="70" zoomScaleNormal="70" workbookViewId="0"/>
  </sheetViews>
  <sheetFormatPr defaultColWidth="9" defaultRowHeight="15.5" x14ac:dyDescent="0.35"/>
  <cols>
    <col min="1" max="1" width="7.453125" style="49" customWidth="1"/>
    <col min="2" max="2" width="9" style="49"/>
    <col min="3" max="3" width="22.7265625" style="49" customWidth="1"/>
    <col min="4" max="4" width="32.26953125" style="49" bestFit="1" customWidth="1"/>
    <col min="5" max="5" width="27.26953125" style="49" customWidth="1"/>
    <col min="6" max="6" width="31" style="49" customWidth="1"/>
    <col min="7" max="7" width="8" style="49" customWidth="1"/>
    <col min="8" max="9" width="24.26953125" style="49" customWidth="1"/>
    <col min="10" max="10" width="9" style="49" customWidth="1"/>
    <col min="11" max="11" width="9" style="49"/>
    <col min="12" max="12" width="16.54296875" style="49" bestFit="1" customWidth="1"/>
    <col min="13" max="16384" width="9" style="49"/>
  </cols>
  <sheetData>
    <row r="3" spans="2:10" ht="16" thickBot="1" x14ac:dyDescent="0.4"/>
    <row r="4" spans="2:10" ht="16" thickTop="1" x14ac:dyDescent="0.35">
      <c r="B4" s="118"/>
      <c r="C4" s="119"/>
      <c r="D4" s="119"/>
      <c r="E4" s="119"/>
      <c r="F4" s="119"/>
      <c r="G4" s="119"/>
      <c r="H4" s="119"/>
      <c r="I4" s="119"/>
      <c r="J4" s="120"/>
    </row>
    <row r="5" spans="2:10" x14ac:dyDescent="0.35">
      <c r="B5" s="121"/>
      <c r="C5" s="122"/>
      <c r="D5" s="122"/>
      <c r="E5" s="122"/>
      <c r="F5" s="122"/>
      <c r="G5" s="122"/>
      <c r="H5" s="122"/>
      <c r="I5" s="122"/>
      <c r="J5" s="123"/>
    </row>
    <row r="6" spans="2:10" x14ac:dyDescent="0.35">
      <c r="B6" s="50"/>
      <c r="C6" s="51"/>
      <c r="D6" s="51"/>
      <c r="E6" s="51"/>
      <c r="F6" s="51"/>
      <c r="G6" s="51"/>
      <c r="H6" s="51"/>
      <c r="I6" s="51"/>
      <c r="J6" s="52"/>
    </row>
    <row r="7" spans="2:10" x14ac:dyDescent="0.35">
      <c r="B7" s="50"/>
      <c r="C7" s="51" t="s">
        <v>6</v>
      </c>
      <c r="D7" s="53"/>
      <c r="E7" s="51"/>
      <c r="F7" s="51"/>
      <c r="G7" s="51"/>
      <c r="H7" s="51"/>
      <c r="I7" s="51"/>
      <c r="J7" s="52"/>
    </row>
    <row r="8" spans="2:10" x14ac:dyDescent="0.35">
      <c r="B8" s="50"/>
      <c r="C8" s="54" t="s">
        <v>26</v>
      </c>
      <c r="D8" s="53"/>
      <c r="E8" s="51"/>
      <c r="F8" s="51"/>
      <c r="G8" s="51"/>
      <c r="H8" s="51"/>
      <c r="I8" s="51"/>
      <c r="J8" s="52"/>
    </row>
    <row r="9" spans="2:10" x14ac:dyDescent="0.35">
      <c r="B9" s="50"/>
      <c r="C9" s="54" t="s">
        <v>7</v>
      </c>
      <c r="D9" s="53"/>
      <c r="E9" s="51"/>
      <c r="F9" s="51"/>
      <c r="G9" s="51"/>
      <c r="H9" s="51"/>
      <c r="I9" s="51"/>
      <c r="J9" s="52"/>
    </row>
    <row r="10" spans="2:10" x14ac:dyDescent="0.35">
      <c r="B10" s="50"/>
      <c r="C10" s="54" t="s">
        <v>8</v>
      </c>
      <c r="D10" s="53"/>
      <c r="E10" s="51"/>
      <c r="F10" s="51"/>
      <c r="G10" s="51"/>
      <c r="H10" s="51"/>
      <c r="I10" s="51"/>
      <c r="J10" s="52"/>
    </row>
    <row r="11" spans="2:10" x14ac:dyDescent="0.35">
      <c r="B11" s="50"/>
      <c r="C11" s="54" t="str">
        <f>"Email : "&amp;VLOOKUP('Spek Produk'!F6,Email_Table,2,FALSE)</f>
        <v>Email : bancassurance@simasjiwa.co.id</v>
      </c>
      <c r="D11" s="53"/>
      <c r="E11" s="51"/>
      <c r="F11" s="51"/>
      <c r="G11" s="51"/>
      <c r="H11" s="51"/>
      <c r="I11" s="51"/>
      <c r="J11" s="52"/>
    </row>
    <row r="12" spans="2:10" x14ac:dyDescent="0.35">
      <c r="B12" s="50"/>
      <c r="C12" s="51"/>
      <c r="D12" s="53"/>
      <c r="E12" s="51"/>
      <c r="F12" s="51"/>
      <c r="G12" s="51"/>
      <c r="H12" s="51"/>
      <c r="I12" s="51"/>
      <c r="J12" s="52"/>
    </row>
    <row r="13" spans="2:10" x14ac:dyDescent="0.35">
      <c r="B13" s="50"/>
      <c r="C13" s="54" t="s">
        <v>9</v>
      </c>
      <c r="D13" s="53"/>
      <c r="E13" s="54"/>
      <c r="F13" s="54"/>
      <c r="G13" s="54"/>
      <c r="H13" s="54"/>
      <c r="I13" s="54"/>
      <c r="J13" s="52"/>
    </row>
    <row r="14" spans="2:10" x14ac:dyDescent="0.35">
      <c r="B14" s="50"/>
      <c r="C14" s="54"/>
      <c r="D14" s="127" t="str">
        <f>"Perihal :   PENGAJUAN ASURANSI JIWA "&amp;IF('Spek Produk'!F9="Konvensional","KREDIT","PEMBIAYAAN")</f>
        <v>Perihal :   PENGAJUAN ASURANSI JIWA KREDIT</v>
      </c>
      <c r="E14" s="127"/>
      <c r="F14" s="127"/>
      <c r="G14" s="127"/>
      <c r="H14" s="55"/>
      <c r="I14" s="54"/>
      <c r="J14" s="52"/>
    </row>
    <row r="15" spans="2:10" ht="12" customHeight="1" x14ac:dyDescent="0.35">
      <c r="B15" s="50"/>
      <c r="D15" s="127"/>
      <c r="E15" s="127"/>
      <c r="F15" s="127"/>
      <c r="G15" s="127"/>
      <c r="H15" s="55"/>
      <c r="I15" s="54"/>
      <c r="J15" s="56"/>
    </row>
    <row r="16" spans="2:10" ht="12" customHeight="1" x14ac:dyDescent="0.35">
      <c r="B16" s="50"/>
      <c r="C16" s="54"/>
      <c r="E16" s="54"/>
      <c r="F16" s="54"/>
      <c r="G16" s="54"/>
      <c r="H16" s="54"/>
      <c r="I16" s="54"/>
      <c r="J16" s="56"/>
    </row>
    <row r="17" spans="2:10" x14ac:dyDescent="0.35">
      <c r="B17" s="50"/>
      <c r="C17" s="129"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BPR Palu Anugerah, dengan ini kami mengajukan penutupan asuransi jiwa kredit dengan data sebagai berikut:</v>
      </c>
      <c r="D17" s="129"/>
      <c r="E17" s="129"/>
      <c r="F17" s="129"/>
      <c r="G17" s="129"/>
      <c r="H17" s="129"/>
      <c r="I17" s="129"/>
      <c r="J17" s="56"/>
    </row>
    <row r="18" spans="2:10" x14ac:dyDescent="0.35">
      <c r="B18" s="50"/>
      <c r="C18" s="129"/>
      <c r="D18" s="129"/>
      <c r="E18" s="129"/>
      <c r="F18" s="129"/>
      <c r="G18" s="129"/>
      <c r="H18" s="129"/>
      <c r="I18" s="129"/>
      <c r="J18" s="56"/>
    </row>
    <row r="19" spans="2:10" x14ac:dyDescent="0.35">
      <c r="B19" s="50"/>
      <c r="C19" s="51"/>
      <c r="D19" s="57"/>
      <c r="E19" s="57"/>
      <c r="F19" s="57"/>
      <c r="G19" s="57"/>
      <c r="H19" s="57"/>
      <c r="I19" s="57"/>
      <c r="J19" s="56"/>
    </row>
    <row r="20" spans="2:10" ht="11.25" customHeight="1" x14ac:dyDescent="0.35">
      <c r="B20" s="50"/>
      <c r="C20" s="51"/>
      <c r="D20" s="130" t="s">
        <v>10</v>
      </c>
      <c r="E20" s="133" t="s">
        <v>30</v>
      </c>
      <c r="F20" s="133"/>
      <c r="G20" s="133"/>
      <c r="H20" s="133"/>
      <c r="I20" s="51"/>
      <c r="J20" s="56"/>
    </row>
    <row r="21" spans="2:10" ht="15" customHeight="1" x14ac:dyDescent="0.35">
      <c r="B21" s="50"/>
      <c r="C21" s="51"/>
      <c r="D21" s="130"/>
      <c r="E21" s="133"/>
      <c r="F21" s="133"/>
      <c r="G21" s="133"/>
      <c r="H21" s="133"/>
      <c r="I21" s="59"/>
      <c r="J21" s="56"/>
    </row>
    <row r="22" spans="2:10" x14ac:dyDescent="0.35">
      <c r="B22" s="50"/>
      <c r="C22" s="51"/>
      <c r="D22" s="58"/>
      <c r="E22" s="60"/>
      <c r="F22" s="60"/>
      <c r="G22" s="59"/>
      <c r="H22" s="59"/>
      <c r="I22" s="59"/>
      <c r="J22" s="56"/>
    </row>
    <row r="23" spans="2:10" x14ac:dyDescent="0.35">
      <c r="B23" s="50"/>
      <c r="C23" s="51"/>
      <c r="D23" s="130" t="s">
        <v>11</v>
      </c>
      <c r="E23" s="132" t="s">
        <v>13</v>
      </c>
      <c r="F23" s="132"/>
      <c r="G23" s="132"/>
      <c r="H23" s="132"/>
      <c r="I23" s="59"/>
      <c r="J23" s="56"/>
    </row>
    <row r="24" spans="2:10" x14ac:dyDescent="0.35">
      <c r="B24" s="50"/>
      <c r="C24" s="51"/>
      <c r="D24" s="130"/>
      <c r="E24" s="132"/>
      <c r="F24" s="132"/>
      <c r="G24" s="132"/>
      <c r="H24" s="132"/>
      <c r="I24" s="59"/>
      <c r="J24" s="56"/>
    </row>
    <row r="25" spans="2:10" x14ac:dyDescent="0.35">
      <c r="B25" s="50"/>
      <c r="C25" s="51"/>
      <c r="D25" s="58"/>
      <c r="E25" s="60"/>
      <c r="F25" s="60"/>
      <c r="G25" s="59"/>
      <c r="H25" s="59"/>
      <c r="I25" s="59"/>
      <c r="J25" s="56"/>
    </row>
    <row r="26" spans="2:10" ht="18.75" customHeight="1" x14ac:dyDescent="0.35">
      <c r="B26" s="50"/>
      <c r="C26" s="51"/>
      <c r="D26" s="130" t="s">
        <v>12</v>
      </c>
      <c r="E26" s="106" t="s">
        <v>31</v>
      </c>
      <c r="F26" s="106"/>
      <c r="G26" s="106"/>
      <c r="H26" s="106"/>
      <c r="I26" s="59"/>
      <c r="J26" s="56"/>
    </row>
    <row r="27" spans="2:10" ht="19.899999999999999" customHeight="1" x14ac:dyDescent="0.35">
      <c r="B27" s="50"/>
      <c r="C27" s="51"/>
      <c r="D27" s="130"/>
      <c r="E27" s="106"/>
      <c r="F27" s="106"/>
      <c r="G27" s="106"/>
      <c r="H27" s="106"/>
      <c r="I27" s="59"/>
      <c r="J27" s="56"/>
    </row>
    <row r="28" spans="2:10" x14ac:dyDescent="0.35">
      <c r="B28" s="50"/>
      <c r="C28" s="51"/>
      <c r="D28" s="58"/>
      <c r="E28" s="60"/>
      <c r="F28" s="60"/>
      <c r="G28" s="59"/>
      <c r="H28" s="59"/>
      <c r="I28" s="59"/>
      <c r="J28" s="56"/>
    </row>
    <row r="29" spans="2:10" ht="15" customHeight="1" x14ac:dyDescent="0.35">
      <c r="B29" s="50"/>
      <c r="C29" s="51"/>
      <c r="D29" s="130" t="s">
        <v>27</v>
      </c>
      <c r="E29" s="131">
        <v>32874</v>
      </c>
      <c r="F29" s="131"/>
      <c r="G29" s="61">
        <f>INT(YEARFRAC(E29,E32,0)+0.5)</f>
        <v>36</v>
      </c>
      <c r="H29" s="107" t="str">
        <f>"Usia: "&amp;IF(INT(YEARFRAC(E29,E32,0)+0.5)&lt;'Spek Produk'!G11,"Minimum "&amp;'Spek Produk'!G11&amp;" Tahun",IF(INT(YEARFRAC(E29,E32,0)+0.5)&gt;'Spek Produk'!I11,"Maksimum "&amp;'Spek Produk'!I11&amp;" Tahun",INT(YEARFRAC(E29,E32,0)+0.5)&amp;" tahun"))</f>
        <v>Usia: 36 tahun</v>
      </c>
      <c r="I29" s="107"/>
      <c r="J29" s="62"/>
    </row>
    <row r="30" spans="2:10" ht="15" customHeight="1" x14ac:dyDescent="0.35">
      <c r="B30" s="50"/>
      <c r="C30" s="51"/>
      <c r="D30" s="130"/>
      <c r="E30" s="131"/>
      <c r="F30" s="131"/>
      <c r="H30" s="107"/>
      <c r="I30" s="107"/>
      <c r="J30" s="62"/>
    </row>
    <row r="31" spans="2:10" x14ac:dyDescent="0.35">
      <c r="B31" s="50"/>
      <c r="C31" s="51"/>
      <c r="D31" s="63"/>
      <c r="E31" s="64"/>
      <c r="F31" s="64"/>
      <c r="G31" s="51"/>
      <c r="H31" s="51"/>
      <c r="I31" s="51"/>
      <c r="J31" s="56"/>
    </row>
    <row r="32" spans="2:10" x14ac:dyDescent="0.35">
      <c r="B32" s="50"/>
      <c r="C32" s="51"/>
      <c r="D32" s="130" t="str">
        <f>"Tanggal Mulai "&amp;IF('Spek Produk'!F9="Konvensional","Kredit","Pembiayaan")&amp;"*"</f>
        <v>Tanggal Mulai Kredit*</v>
      </c>
      <c r="E32" s="131">
        <v>46174</v>
      </c>
      <c r="F32" s="131"/>
      <c r="G32" s="51"/>
      <c r="H32" s="51"/>
      <c r="I32" s="51"/>
      <c r="J32" s="56"/>
    </row>
    <row r="33" spans="2:13" x14ac:dyDescent="0.35">
      <c r="B33" s="50"/>
      <c r="C33" s="51"/>
      <c r="D33" s="130"/>
      <c r="E33" s="131"/>
      <c r="F33" s="131"/>
      <c r="G33" s="51"/>
      <c r="H33" s="51"/>
      <c r="I33" s="51"/>
      <c r="J33" s="56"/>
    </row>
    <row r="34" spans="2:13" x14ac:dyDescent="0.35">
      <c r="B34" s="50"/>
      <c r="C34" s="51"/>
      <c r="D34" s="63"/>
      <c r="E34" s="51"/>
      <c r="F34" s="51"/>
      <c r="G34" s="51"/>
      <c r="H34" s="51"/>
      <c r="I34" s="51"/>
      <c r="J34" s="56"/>
    </row>
    <row r="35" spans="2:13" ht="18.75" customHeight="1" x14ac:dyDescent="0.35">
      <c r="B35" s="50"/>
      <c r="C35" s="51"/>
      <c r="D35" s="130" t="s">
        <v>28</v>
      </c>
      <c r="E35" s="128">
        <v>5</v>
      </c>
      <c r="F35" s="128"/>
      <c r="G35" s="51" t="s">
        <v>1</v>
      </c>
      <c r="H35" s="117" t="str">
        <f>IF(E35*12+E36&gt;'Spek Produk'!I10*12,"Masa Asuransi: Maksimum "&amp;'Spek Produk'!I10&amp;" tahun",IF(INT(YEARFRAC(E29,E32,0)+0.5)+E35+E36/12&gt;'Spek Produk'!H12,"Maksimum masa asuransi untuk nasabah berusia "&amp;INT(YEARFRAC(E29,E32,0)+0.5)&amp;" tahun adalah "&amp;MAX(0,'Spek Produk'!H12-INT(YEARFRAC(E29,E32,0)+0.5))&amp;" tahun",""))</f>
        <v/>
      </c>
      <c r="I35" s="117"/>
      <c r="J35" s="56"/>
    </row>
    <row r="36" spans="2:13" ht="18.75" customHeight="1" x14ac:dyDescent="0.35">
      <c r="B36" s="50"/>
      <c r="C36" s="51"/>
      <c r="D36" s="130"/>
      <c r="E36" s="128">
        <v>0</v>
      </c>
      <c r="F36" s="128"/>
      <c r="G36" s="51" t="s">
        <v>0</v>
      </c>
      <c r="H36" s="117"/>
      <c r="I36" s="117"/>
      <c r="J36" s="56"/>
    </row>
    <row r="37" spans="2:13" x14ac:dyDescent="0.35">
      <c r="B37" s="50"/>
      <c r="C37" s="51"/>
      <c r="D37" s="51"/>
      <c r="E37" s="51"/>
      <c r="F37" s="51"/>
      <c r="G37" s="51"/>
      <c r="H37" s="51"/>
      <c r="I37" s="51"/>
      <c r="J37" s="56"/>
    </row>
    <row r="38" spans="2:13" x14ac:dyDescent="0.35">
      <c r="B38" s="50"/>
      <c r="C38" s="51"/>
      <c r="D38" s="112" t="str">
        <f>IF('Spek Produk'!F9="Konvensional","Jenis Uang Pertanggungan*","Jenis Santunan Asuransi*")</f>
        <v>Jenis Uang Pertanggungan*</v>
      </c>
      <c r="E38" s="111" t="s">
        <v>93</v>
      </c>
      <c r="F38" s="111"/>
      <c r="G38" s="51"/>
      <c r="H38" s="51"/>
      <c r="I38" s="51"/>
      <c r="J38" s="56"/>
    </row>
    <row r="39" spans="2:13" x14ac:dyDescent="0.35">
      <c r="B39" s="50"/>
      <c r="C39" s="51"/>
      <c r="D39" s="112"/>
      <c r="E39" s="111"/>
      <c r="F39" s="111"/>
      <c r="G39" s="51"/>
      <c r="H39" s="51"/>
      <c r="I39" s="51"/>
      <c r="J39" s="56"/>
    </row>
    <row r="40" spans="2:13" x14ac:dyDescent="0.35">
      <c r="B40" s="50"/>
      <c r="C40" s="51"/>
      <c r="D40" s="51"/>
      <c r="E40" s="51"/>
      <c r="F40" s="51"/>
      <c r="G40" s="51"/>
      <c r="H40" s="51"/>
      <c r="I40" s="51"/>
      <c r="J40" s="56"/>
    </row>
    <row r="41" spans="2:13" ht="15.65" customHeight="1" x14ac:dyDescent="0.35">
      <c r="B41" s="50"/>
      <c r="C41" s="51"/>
      <c r="D41" s="112" t="str">
        <f>IF('Spek Produk'!F9="Konvensional","Uang Pertanggungan*","Santunan Asuransi*")</f>
        <v>Uang Pertanggungan*</v>
      </c>
      <c r="E41" s="111">
        <v>100000000</v>
      </c>
      <c r="F41" s="111"/>
      <c r="H41" s="116" t="str">
        <f>IF(E41&gt;'Spek Produk'!F8,"UP: Maksimum IDR "&amp;TEXT('Spek Produk'!F8,"000,000"),"")</f>
        <v/>
      </c>
      <c r="I41" s="116"/>
      <c r="J41" s="65"/>
    </row>
    <row r="42" spans="2:13" x14ac:dyDescent="0.35">
      <c r="B42" s="50"/>
      <c r="C42" s="51"/>
      <c r="D42" s="112"/>
      <c r="E42" s="111"/>
      <c r="F42" s="111"/>
      <c r="G42" s="66"/>
      <c r="H42" s="116"/>
      <c r="I42" s="116"/>
      <c r="J42" s="65"/>
    </row>
    <row r="43" spans="2:13" x14ac:dyDescent="0.35">
      <c r="B43" s="50"/>
      <c r="C43" s="51"/>
      <c r="D43" s="63"/>
      <c r="E43" s="51"/>
      <c r="F43" s="51"/>
      <c r="G43" s="51"/>
      <c r="H43" s="51"/>
      <c r="I43" s="51"/>
      <c r="J43" s="56"/>
    </row>
    <row r="44" spans="2:13" ht="18.75" customHeight="1" x14ac:dyDescent="0.35">
      <c r="B44" s="50"/>
      <c r="C44" s="51"/>
      <c r="D44" s="63" t="s">
        <v>3</v>
      </c>
      <c r="E44" s="109">
        <v>0</v>
      </c>
      <c r="F44" s="109"/>
      <c r="G44" s="51" t="s">
        <v>4</v>
      </c>
      <c r="H44" s="51"/>
      <c r="I44" s="51"/>
      <c r="J44" s="56"/>
    </row>
    <row r="45" spans="2:13" ht="18.75" customHeight="1" x14ac:dyDescent="0.35">
      <c r="B45" s="50"/>
      <c r="C45" s="51"/>
      <c r="D45" s="63"/>
      <c r="E45" s="67"/>
      <c r="F45" s="67"/>
      <c r="G45" s="51"/>
      <c r="H45" s="51"/>
      <c r="I45" s="51"/>
      <c r="J45" s="56"/>
      <c r="L45" s="68"/>
    </row>
    <row r="46" spans="2:13" ht="18.75" customHeight="1" x14ac:dyDescent="0.35">
      <c r="B46" s="50"/>
      <c r="C46" s="51"/>
      <c r="D46" s="63" t="s">
        <v>29</v>
      </c>
      <c r="E46" s="67"/>
      <c r="F46" s="67"/>
      <c r="G46" s="51"/>
      <c r="H46" s="51"/>
      <c r="I46" s="51"/>
      <c r="J46" s="56"/>
    </row>
    <row r="47" spans="2:13" ht="18.75" customHeight="1" x14ac:dyDescent="0.35">
      <c r="B47" s="50"/>
      <c r="C47" s="51"/>
      <c r="D47" s="64"/>
      <c r="E47" s="69"/>
      <c r="F47" s="69"/>
      <c r="G47" s="51"/>
      <c r="H47" s="51"/>
      <c r="I47" s="51"/>
      <c r="J47" s="56"/>
    </row>
    <row r="48" spans="2:13" ht="18.75" customHeight="1" x14ac:dyDescent="0.35">
      <c r="B48" s="50"/>
      <c r="C48" s="51"/>
      <c r="D48" s="51" t="str">
        <f>IF('Spek Produk'!F9="Konvensional","Premi Sekaligus","Kontribusi Sekaligus")</f>
        <v>Premi Sekaligus</v>
      </c>
      <c r="E48" s="113">
        <f>IF(E35*12+E36&gt;'Spek Produk'!$I$10*12,"Perhatikan Ketentuan Masa Asuransi",IFERROR(ROUND(IF(E35*12+E36&lt;12,VLOOKUP(E35*12+E36,Faktor_Multiplier,2,FALSE)*VLOOKUP(G29,Premium_Table,2,FALSE),VLOOKUP(G29,Premium_Table,E35+1,FALSE)+IFERROR((VLOOKUP(G29,Premium_Table,E35+2,FALSE)-VLOOKUP(G29,Premium_Table,E35+1,FALSE))*E36/12,0)),2)*E41/1000,"Perhatikan Ketentuan Usia + Masa Asuransi"))</f>
        <v>2812000</v>
      </c>
      <c r="F48" s="113"/>
      <c r="G48" s="51"/>
      <c r="H48" s="51"/>
      <c r="I48" s="51"/>
      <c r="J48" s="56"/>
      <c r="M48" s="70"/>
    </row>
    <row r="49" spans="2:10" ht="18.75" customHeight="1" x14ac:dyDescent="0.35">
      <c r="B49" s="50"/>
      <c r="C49" s="51"/>
      <c r="D49" s="51" t="str">
        <f>IF('Spek Produk'!F9="Konvensional","Extra Premi","Extra Kontribusi")</f>
        <v>Extra Premi</v>
      </c>
      <c r="E49" s="114">
        <f>IFERROR(IF(G29+$E$35+(E36/12)&gt;70,"",ROUND($E$41/1000*$E$44,2)),"-")</f>
        <v>0</v>
      </c>
      <c r="F49" s="114"/>
      <c r="G49" s="51"/>
      <c r="H49" s="51"/>
      <c r="I49" s="51"/>
      <c r="J49" s="56"/>
    </row>
    <row r="50" spans="2:10" ht="18.75" customHeight="1" x14ac:dyDescent="0.35">
      <c r="B50" s="50"/>
      <c r="C50" s="51"/>
      <c r="D50" s="51" t="s">
        <v>2</v>
      </c>
      <c r="E50" s="115">
        <v>0</v>
      </c>
      <c r="F50" s="115"/>
      <c r="G50" s="51"/>
      <c r="H50" s="51"/>
      <c r="I50" s="51"/>
      <c r="J50" s="56"/>
    </row>
    <row r="51" spans="2:10" ht="18.75" customHeight="1" x14ac:dyDescent="0.35">
      <c r="B51" s="50"/>
      <c r="C51" s="51"/>
      <c r="D51" s="71" t="s">
        <v>5</v>
      </c>
      <c r="E51" s="113">
        <f>IF(E35*12+E36&gt;'Spek Produk'!$I$10*12,"Perhatikan Ketentuan Masa Asuransi",SUM(E48:F50))</f>
        <v>2812000</v>
      </c>
      <c r="F51" s="113"/>
      <c r="G51" s="51"/>
      <c r="H51" s="51"/>
      <c r="I51" s="51"/>
      <c r="J51" s="56"/>
    </row>
    <row r="52" spans="2:10" ht="18.75" customHeight="1" x14ac:dyDescent="0.35">
      <c r="B52" s="50"/>
      <c r="C52" s="51"/>
      <c r="D52" s="51"/>
      <c r="E52" s="72"/>
      <c r="F52" s="72"/>
      <c r="G52" s="51"/>
      <c r="H52" s="51"/>
      <c r="I52" s="51"/>
      <c r="J52" s="56"/>
    </row>
    <row r="53" spans="2:10" ht="18.75" customHeight="1" x14ac:dyDescent="0.35">
      <c r="B53" s="50"/>
      <c r="C53" s="51"/>
      <c r="G53" s="51"/>
      <c r="H53" s="51"/>
      <c r="I53" s="51"/>
      <c r="J53" s="56"/>
    </row>
    <row r="54" spans="2:10" ht="18.75" customHeight="1" x14ac:dyDescent="0.35">
      <c r="B54" s="50"/>
      <c r="C54" s="51" t="s">
        <v>14</v>
      </c>
      <c r="D54" s="93" t="str">
        <f>IF(H35&lt;&gt;"","Perhatikan Ketentuan Usia + Masa Asuransi",IFERROR(VLOOKUP(VALUE(MID($H$29,7,2)),Medic!$A$2:$L$8,MATCH($E$41,Medic!$B$2:$L$2,1)+1,TRUE),"-"))</f>
        <v>AA</v>
      </c>
      <c r="F54" s="51"/>
      <c r="G54" s="51"/>
      <c r="H54" s="51"/>
      <c r="I54" s="51"/>
      <c r="J54" s="56"/>
    </row>
    <row r="55" spans="2:10" ht="18.75" customHeight="1" x14ac:dyDescent="0.35">
      <c r="B55" s="50"/>
      <c r="C55" s="110" t="str">
        <f>IFERROR(VLOOKUP(D54,Medic!$R$3:$AP$10,3,FALSE),"-")</f>
        <v>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v>
      </c>
      <c r="D55" s="110"/>
      <c r="E55" s="110"/>
      <c r="F55" s="110"/>
      <c r="G55" s="110"/>
      <c r="H55" s="110"/>
      <c r="I55" s="110"/>
      <c r="J55" s="56"/>
    </row>
    <row r="56" spans="2:10" ht="18.75" customHeight="1" x14ac:dyDescent="0.35">
      <c r="B56" s="50"/>
      <c r="C56" s="110"/>
      <c r="D56" s="110"/>
      <c r="E56" s="110"/>
      <c r="F56" s="110"/>
      <c r="G56" s="110"/>
      <c r="H56" s="110"/>
      <c r="I56" s="110"/>
      <c r="J56" s="56"/>
    </row>
    <row r="57" spans="2:10" ht="18.75" customHeight="1" x14ac:dyDescent="0.35">
      <c r="B57" s="50"/>
      <c r="C57" s="110"/>
      <c r="D57" s="110"/>
      <c r="E57" s="110"/>
      <c r="F57" s="110"/>
      <c r="G57" s="110"/>
      <c r="H57" s="110"/>
      <c r="I57" s="110"/>
      <c r="J57" s="56"/>
    </row>
    <row r="58" spans="2:10" ht="18.75" customHeight="1" x14ac:dyDescent="0.35">
      <c r="B58" s="50"/>
      <c r="C58" s="110"/>
      <c r="D58" s="110"/>
      <c r="E58" s="110"/>
      <c r="F58" s="110"/>
      <c r="G58" s="110"/>
      <c r="H58" s="110"/>
      <c r="I58" s="110"/>
      <c r="J58" s="56"/>
    </row>
    <row r="59" spans="2:10" ht="18.75" customHeight="1" x14ac:dyDescent="0.35">
      <c r="B59" s="50"/>
      <c r="C59" s="51"/>
      <c r="D59" s="53"/>
      <c r="E59" s="53"/>
      <c r="F59" s="51"/>
      <c r="G59" s="51"/>
      <c r="H59" s="51"/>
      <c r="I59" s="51"/>
      <c r="J59" s="56"/>
    </row>
    <row r="60" spans="2:10" ht="18.75" customHeight="1" x14ac:dyDescent="0.35">
      <c r="B60" s="50"/>
      <c r="C60" s="53" t="s">
        <v>15</v>
      </c>
      <c r="D60" s="53"/>
      <c r="F60" s="51"/>
      <c r="G60" s="51"/>
      <c r="H60" s="51"/>
      <c r="I60" s="51"/>
      <c r="J60" s="56"/>
    </row>
    <row r="61" spans="2:10" ht="18.75" customHeight="1" x14ac:dyDescent="0.35">
      <c r="B61" s="50"/>
      <c r="C61" s="49" t="str">
        <f>'Spek Produk'!F7</f>
        <v>BPR Palu Anugerah</v>
      </c>
      <c r="D61" s="53"/>
      <c r="E61" s="53"/>
      <c r="F61" s="51"/>
      <c r="G61" s="51"/>
      <c r="H61" s="51"/>
      <c r="I61" s="51"/>
      <c r="J61" s="56"/>
    </row>
    <row r="62" spans="2:10" ht="18.75" customHeight="1" x14ac:dyDescent="0.35">
      <c r="B62" s="50"/>
      <c r="C62" s="53"/>
      <c r="D62" s="53"/>
      <c r="E62" s="53"/>
      <c r="F62" s="51"/>
      <c r="G62" s="51"/>
      <c r="H62" s="51"/>
      <c r="I62" s="51"/>
      <c r="J62" s="56"/>
    </row>
    <row r="63" spans="2:10" ht="18.75" customHeight="1" x14ac:dyDescent="0.35">
      <c r="B63" s="50"/>
      <c r="C63" s="53"/>
      <c r="D63" s="53"/>
      <c r="E63" s="53"/>
      <c r="F63" s="51"/>
      <c r="G63" s="51"/>
      <c r="H63" s="51"/>
      <c r="I63" s="51"/>
      <c r="J63" s="56"/>
    </row>
    <row r="64" spans="2:10" ht="18.75" customHeight="1" x14ac:dyDescent="0.35">
      <c r="B64" s="50"/>
      <c r="C64" s="53" t="s">
        <v>16</v>
      </c>
      <c r="D64" s="73">
        <f ca="1">NOW()</f>
        <v>46307.698737037033</v>
      </c>
      <c r="E64" s="53"/>
      <c r="F64" s="51"/>
      <c r="G64" s="51"/>
      <c r="H64" s="51"/>
      <c r="I64" s="51"/>
      <c r="J64" s="56"/>
    </row>
    <row r="65" spans="2:10" ht="18.75" customHeight="1" x14ac:dyDescent="0.35">
      <c r="B65" s="50"/>
      <c r="C65" s="51"/>
      <c r="D65" s="53"/>
      <c r="E65" s="53"/>
      <c r="F65" s="51"/>
      <c r="G65" s="51"/>
      <c r="H65" s="51"/>
      <c r="I65" s="51"/>
      <c r="J65" s="56"/>
    </row>
    <row r="66" spans="2:10" x14ac:dyDescent="0.35">
      <c r="B66" s="50"/>
      <c r="C66" s="51"/>
      <c r="D66" s="51"/>
      <c r="E66" s="108"/>
      <c r="F66" s="108"/>
      <c r="G66" s="51"/>
      <c r="H66" s="51"/>
      <c r="I66" s="51"/>
      <c r="J66" s="56"/>
    </row>
    <row r="67" spans="2:10" x14ac:dyDescent="0.35">
      <c r="B67" s="121"/>
      <c r="C67" s="122"/>
      <c r="D67" s="122"/>
      <c r="E67" s="122"/>
      <c r="F67" s="122"/>
      <c r="G67" s="122"/>
      <c r="H67" s="122"/>
      <c r="I67" s="122"/>
      <c r="J67" s="123"/>
    </row>
    <row r="68" spans="2:10" ht="16" thickBot="1" x14ac:dyDescent="0.4">
      <c r="B68" s="124"/>
      <c r="C68" s="125"/>
      <c r="D68" s="125"/>
      <c r="E68" s="125"/>
      <c r="F68" s="125"/>
      <c r="G68" s="125"/>
      <c r="H68" s="125"/>
      <c r="I68" s="125"/>
      <c r="J68" s="126"/>
    </row>
    <row r="69" spans="2:10" ht="16" thickTop="1" x14ac:dyDescent="0.35"/>
  </sheetData>
  <sheetProtection algorithmName="SHA-512" hashValue="pF0J+WQY090xjCJVkRdqGnMEoNHLYJE0ok04Tm6Kk+LPio8148U8Ap+Ur4XE464Utw+7FWPnxN98mx6NwSJZqA==" saltValue="+qCOe6VeiZ0SCs9XWqQ5nA==" spinCount="100000" sheet="1" objects="1" scenarios="1"/>
  <dataConsolidate/>
  <mergeCells count="31">
    <mergeCell ref="B4:J5"/>
    <mergeCell ref="B67:J68"/>
    <mergeCell ref="D14:G15"/>
    <mergeCell ref="E36:F36"/>
    <mergeCell ref="C17:I18"/>
    <mergeCell ref="D20:D21"/>
    <mergeCell ref="D23:D24"/>
    <mergeCell ref="D26:D27"/>
    <mergeCell ref="E29:F30"/>
    <mergeCell ref="D29:D30"/>
    <mergeCell ref="E32:F33"/>
    <mergeCell ref="D35:D36"/>
    <mergeCell ref="D32:D33"/>
    <mergeCell ref="E35:F35"/>
    <mergeCell ref="E23:H24"/>
    <mergeCell ref="E20:H21"/>
    <mergeCell ref="E26:H27"/>
    <mergeCell ref="H29:I30"/>
    <mergeCell ref="E66:F66"/>
    <mergeCell ref="E44:F44"/>
    <mergeCell ref="C55:I58"/>
    <mergeCell ref="E41:F42"/>
    <mergeCell ref="D41:D42"/>
    <mergeCell ref="E48:F48"/>
    <mergeCell ref="E49:F49"/>
    <mergeCell ref="E51:F51"/>
    <mergeCell ref="E50:F50"/>
    <mergeCell ref="H41:I42"/>
    <mergeCell ref="D38:D39"/>
    <mergeCell ref="E38:F39"/>
    <mergeCell ref="H35:I36"/>
  </mergeCells>
  <phoneticPr fontId="2" type="noConversion"/>
  <dataValidations count="1">
    <dataValidation type="list" allowBlank="1" showInputMessage="1" showErrorMessage="1" sqref="E23" xr:uid="{00000000-0002-0000-0100-000002000000}">
      <formula1>"Laki-Laki, Perempuan"</formula1>
    </dataValidation>
  </dataValidations>
  <printOptions horizontalCentered="1"/>
  <pageMargins left="0.25" right="0.25" top="1" bottom="1" header="0.5" footer="0.5"/>
  <pageSetup paperSize="9" scale="64" orientation="portrait" r:id="rId1"/>
  <headerFooter alignWithMargins="0"/>
  <ignoredErrors>
    <ignoredError sqref="E50:F50 D64 F48 F49 E52:F52 F5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IF(OR($G$29+$E$35&gt;='Spek Produk'!$H$12,$E$35&gt;='Spek Produk'!$I$10),'Spek Produk'!$AR$25,'Spek Produk'!$AR$25:$AR$36)</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W57"/>
  <sheetViews>
    <sheetView showGridLines="0" zoomScaleNormal="100" workbookViewId="0">
      <pane xSplit="2" ySplit="5" topLeftCell="C6" activePane="bottomRight" state="frozen"/>
      <selection pane="topRight" activeCell="C1" sqref="C1"/>
      <selection pane="bottomLeft" activeCell="A6" sqref="A6"/>
      <selection pane="bottomRight"/>
    </sheetView>
  </sheetViews>
  <sheetFormatPr defaultColWidth="8.7265625" defaultRowHeight="14.5" x14ac:dyDescent="0.35"/>
  <cols>
    <col min="1" max="1" width="7.453125" style="31" customWidth="1"/>
    <col min="2" max="2" width="33.26953125" style="47" customWidth="1"/>
    <col min="3" max="3" width="18.7265625" style="32" customWidth="1"/>
    <col min="4" max="4" width="53.453125" style="47" customWidth="1"/>
    <col min="5" max="5" width="25.26953125" style="31" customWidth="1"/>
    <col min="6" max="7" width="18.7265625" style="31" customWidth="1"/>
    <col min="8" max="8" width="25.26953125" style="31" customWidth="1"/>
    <col min="9" max="9" width="25.26953125" style="74" customWidth="1"/>
    <col min="10" max="10" width="25.26953125" style="31" customWidth="1"/>
    <col min="11" max="12" width="8.7265625" style="47"/>
    <col min="13" max="13" width="21.26953125" style="31" customWidth="1"/>
    <col min="14" max="14" width="21.26953125" style="88" customWidth="1"/>
    <col min="15" max="15" width="3.7265625" style="76" customWidth="1"/>
    <col min="16" max="16" width="21.26953125" style="31" customWidth="1"/>
    <col min="17" max="21" width="21.26953125" style="47" customWidth="1"/>
    <col min="22" max="22" width="8.7265625" style="77"/>
    <col min="23" max="16384" width="8.7265625" style="76"/>
  </cols>
  <sheetData>
    <row r="1" spans="1:23" ht="18" customHeight="1" x14ac:dyDescent="0.35">
      <c r="A1" s="32" t="str">
        <f>'Spek Produk'!F7</f>
        <v>BPR Palu Anugerah</v>
      </c>
      <c r="B1" s="32"/>
      <c r="D1" s="32"/>
      <c r="K1" s="32"/>
      <c r="L1" s="32"/>
      <c r="N1" s="75"/>
      <c r="Q1" s="32"/>
      <c r="R1" s="32"/>
      <c r="S1" s="32"/>
      <c r="T1" s="32"/>
      <c r="U1" s="32"/>
    </row>
    <row r="2" spans="1:23" ht="18" customHeight="1" x14ac:dyDescent="0.35">
      <c r="A2" s="32"/>
      <c r="B2" s="32"/>
      <c r="D2" s="32"/>
      <c r="I2" s="78"/>
      <c r="K2" s="32"/>
      <c r="L2" s="32"/>
      <c r="N2" s="75"/>
      <c r="P2" s="48" t="str">
        <f>IF(COUNTIF(V6:V55,"&lt;&gt;"&amp;" ")&gt;0,"Terdapat peserta dengan usia / UP / masa asuransi yang tidak sesuai dengan fitur produk. Mohon cek kembali!","")</f>
        <v/>
      </c>
      <c r="R2" s="32"/>
      <c r="S2" s="32"/>
      <c r="T2" s="32"/>
      <c r="U2" s="32"/>
    </row>
    <row r="3" spans="1:23" ht="18" customHeight="1" x14ac:dyDescent="0.35">
      <c r="A3" s="32"/>
      <c r="B3" s="32"/>
      <c r="D3" s="32"/>
      <c r="K3" s="32"/>
      <c r="L3" s="32"/>
      <c r="N3" s="79"/>
      <c r="Q3" s="31"/>
      <c r="R3" s="31"/>
      <c r="S3" s="31"/>
      <c r="T3" s="31"/>
      <c r="U3" s="31"/>
    </row>
    <row r="4" spans="1:23" ht="18" customHeight="1" x14ac:dyDescent="0.35">
      <c r="A4" s="148" t="s">
        <v>60</v>
      </c>
      <c r="B4" s="149" t="s">
        <v>111</v>
      </c>
      <c r="C4" s="150" t="s">
        <v>61</v>
      </c>
      <c r="D4" s="148" t="s">
        <v>12</v>
      </c>
      <c r="E4" s="148" t="s">
        <v>62</v>
      </c>
      <c r="F4" s="148" t="s">
        <v>63</v>
      </c>
      <c r="G4" s="148" t="s">
        <v>11</v>
      </c>
      <c r="H4" s="148" t="s">
        <v>64</v>
      </c>
      <c r="I4" s="152" t="s">
        <v>65</v>
      </c>
      <c r="J4" s="152" t="s">
        <v>66</v>
      </c>
      <c r="K4" s="148" t="s">
        <v>67</v>
      </c>
      <c r="L4" s="148"/>
      <c r="M4" s="147" t="str">
        <f>"Plan "&amp;N4</f>
        <v>Plan Uang Pertanggungan</v>
      </c>
      <c r="N4" s="156" t="str">
        <f>IF('Spek Produk'!F9="Konvensional","Uang Pertanggungan","Santunan Asuransi")</f>
        <v>Uang Pertanggungan</v>
      </c>
      <c r="P4" s="157" t="s">
        <v>68</v>
      </c>
      <c r="Q4" s="157" t="s">
        <v>110</v>
      </c>
      <c r="R4" s="157" t="s">
        <v>69</v>
      </c>
      <c r="S4" s="158" t="str">
        <f>IF('Spek Produk'!F9="Konvensional","Premi Gross","Kontribusi Gross")</f>
        <v>Premi Gross</v>
      </c>
      <c r="T4" s="154" t="str">
        <f>IF('Spek Produk'!F9="Konvensional","Ekstra Premi","Ekstra Kontribusi")</f>
        <v>Ekstra Premi</v>
      </c>
      <c r="U4" s="154" t="str">
        <f>IF('Spek Produk'!F9="Konvensional","Total Premi","Total Kontribusi")</f>
        <v>Total Premi</v>
      </c>
    </row>
    <row r="5" spans="1:23" ht="18" customHeight="1" x14ac:dyDescent="0.35">
      <c r="A5" s="148"/>
      <c r="B5" s="147"/>
      <c r="C5" s="151"/>
      <c r="D5" s="148"/>
      <c r="E5" s="148"/>
      <c r="F5" s="148"/>
      <c r="G5" s="148"/>
      <c r="H5" s="148"/>
      <c r="I5" s="153"/>
      <c r="J5" s="153"/>
      <c r="K5" s="80" t="s">
        <v>1</v>
      </c>
      <c r="L5" s="80" t="s">
        <v>0</v>
      </c>
      <c r="M5" s="147"/>
      <c r="N5" s="156"/>
      <c r="P5" s="157"/>
      <c r="Q5" s="157"/>
      <c r="R5" s="157"/>
      <c r="S5" s="158"/>
      <c r="T5" s="155"/>
      <c r="U5" s="155"/>
    </row>
    <row r="6" spans="1:23" x14ac:dyDescent="0.35">
      <c r="A6" s="43">
        <v>1</v>
      </c>
      <c r="B6" s="34" t="s">
        <v>99</v>
      </c>
      <c r="C6" s="35" t="s">
        <v>70</v>
      </c>
      <c r="D6" s="34" t="s">
        <v>71</v>
      </c>
      <c r="E6" s="36" t="s">
        <v>104</v>
      </c>
      <c r="F6" s="33" t="s">
        <v>72</v>
      </c>
      <c r="G6" s="33" t="s">
        <v>73</v>
      </c>
      <c r="H6" s="37" t="s">
        <v>81</v>
      </c>
      <c r="I6" s="89">
        <v>24010</v>
      </c>
      <c r="J6" s="89">
        <v>45992</v>
      </c>
      <c r="K6" s="33">
        <v>2</v>
      </c>
      <c r="L6" s="33">
        <v>11</v>
      </c>
      <c r="M6" s="33" t="s">
        <v>93</v>
      </c>
      <c r="N6" s="38">
        <v>100000000</v>
      </c>
      <c r="P6" s="83">
        <v>0</v>
      </c>
      <c r="Q6" s="39">
        <f>IFERROR(INT(YEARFRAC(I6,J6,0)+0.5),"")</f>
        <v>60</v>
      </c>
      <c r="R6" s="40" t="str">
        <f>IF(V6&lt;&gt;" ",V6,IFERROR(VLOOKUP(Q6,IF('Spek Produk'!$F$9="Syariah",Medic!$A$21:$L$27,Medic!$A$12:$L$18),MATCH(N6,IF('Spek Produk'!$F$9="Syariah",Medic!$B$21:$L$21,Medic!$B$12:$L$12),TRUE)+1),""))</f>
        <v>A</v>
      </c>
      <c r="S6" s="92">
        <f t="shared" ref="S6:S37" si="0">IF(V6&lt;&gt;" ",V6,IF(N6="","",IFERROR(IF(Q6=0,0,ROUND(IF(K6*12+L6&lt;12,VLOOKUP(K6*12+L6,Faktor_Multiplier,2,FALSE)*VLOOKUP(Q6,IF(M6="Menurun",Premium_Table_Dec,Premium_Table_Flat),2,FALSE),VLOOKUP(Q6,IF(M6="Menurun",Premium_Table_Dec,Premium_Table_Flat),K6+1,FALSE)+IFERROR((VLOOKUP(Q6,IF(M6="Menurun",Premium_Table_Dec,Premium_Table_Flat),K6+2,FALSE)-VLOOKUP(Q6,IF(M6="Menurun",Premium_Table_Dec,Premium_Table_Flat),K6+1,FALSE)),0)*L6/12),2)*N6/1000),"Perhatikan Ketentuan Usia + Masa Asuransi")))</f>
        <v>1634000</v>
      </c>
      <c r="T6" s="41">
        <f>IFERROR(IF(V6&lt;&gt;" ",V6,IF(N6="","",ROUND(N6/1000*P6,2))),"Perhatikan Ketentuan Usia + Masa Asuransi")</f>
        <v>0</v>
      </c>
      <c r="U6" s="92">
        <f>IFERROR(IF(V6&lt;&gt;" ",V6,IF(N6="","",S6+T6)),"Perhatikan Ketentuan Usia + Masa Asuransi")</f>
        <v>1634000</v>
      </c>
      <c r="V6" s="77" t="str">
        <f>IF(M6="Menurun",IF(AND(Q6&gt;'Spek Produk'!$I$23,Q6&lt;&gt;""),"Usia masuk lebih besar dari fitur produk",IF(AND(Q6&lt;'Spek Produk'!$G$23,Q6&lt;&gt;0,Q6&lt;&gt;""),"Usia masuk lebih rendah dari fitur produk",IF(N6&gt;'Spek Produk'!$F$20,"UP lebih besar dari fitur produk",IF(K6+L6/12&gt;'Spek Produk'!$I$22,"Masa asuransi lebih besar dari fitur produk",IF(AND(Q6+K6+L6/12&gt;'Spek Produk'!$H$24,Q6&lt;&gt;0,Q6&lt;&gt;""),"Maksimum masa asuransi untuk nasabah berusia "&amp;Q6&amp;" tahun adalah "&amp;MAX(0,'Spek Produk'!$H$24-Q6)&amp;" tahun",IF(AND(0&lt;K6+L6/12,K6+L6/12&lt;'Spek Produk'!$G$22),"Masa asuransi lebih kecil dari fitur produk"," ")))))),IF(AND(Q6&gt;'Spek Produk'!$I$35,Q6&lt;&gt;""),"Usia masuk lebih besar dari fitur produk",IF(AND(Q6&lt;'Spek Produk'!$G$35,Q6&lt;&gt;0,Q6&lt;&gt;""),"Usia masuk lebih rendah dari fitur produk",IF(N6&gt;'Spek Produk'!$F$32,"UP lebih besar dari fitur produk",IF(K6+L6/12&gt;'Spek Produk'!$I$34,"Masa asuransi lebih besar dari fitur produk",IF(AND(Q6+K6+L6/12&gt;'Spek Produk'!$H$36,Q6&lt;&gt;0,Q6&lt;&gt;""),"Maksimum masa asuransi untuk nasabah berusia "&amp;Q6&amp;" tahun adalah "&amp;MAX(0,'Spek Produk'!$H$36-Q6)&amp;" tahun",IF(AND(0&lt;K6+L6/12,K6+L6/12&lt;'Spek Produk'!$G$34),"Masa asuransi lebih Kecil dari fitur produk"," ")))))))</f>
        <v xml:space="preserve"> </v>
      </c>
      <c r="W6" s="77"/>
    </row>
    <row r="7" spans="1:23" x14ac:dyDescent="0.35">
      <c r="A7" s="43">
        <f>+A6+1</f>
        <v>2</v>
      </c>
      <c r="B7" s="34" t="s">
        <v>100</v>
      </c>
      <c r="C7" s="35" t="s">
        <v>70</v>
      </c>
      <c r="D7" s="34" t="s">
        <v>74</v>
      </c>
      <c r="E7" s="36" t="s">
        <v>105</v>
      </c>
      <c r="F7" s="33" t="s">
        <v>72</v>
      </c>
      <c r="G7" s="33" t="s">
        <v>13</v>
      </c>
      <c r="H7" s="37" t="s">
        <v>82</v>
      </c>
      <c r="I7" s="89">
        <v>30152</v>
      </c>
      <c r="J7" s="89">
        <v>45992</v>
      </c>
      <c r="K7" s="33">
        <v>0</v>
      </c>
      <c r="L7" s="33">
        <v>4</v>
      </c>
      <c r="M7" s="33" t="s">
        <v>93</v>
      </c>
      <c r="N7" s="38">
        <v>75000000</v>
      </c>
      <c r="P7" s="83">
        <v>0</v>
      </c>
      <c r="Q7" s="39">
        <f t="shared" ref="Q7:Q55" si="1">IFERROR(INT(YEARFRAC(I7,J7,0)+0.5),"")</f>
        <v>43</v>
      </c>
      <c r="R7" s="40" t="str">
        <f>IF(V7&lt;&gt;" ",V7,IFERROR(VLOOKUP(Q7,IF('Spek Produk'!$F$9="Syariah",Medic!$A$21:$L$27,Medic!$A$12:$L$18),MATCH(N7,IF('Spek Produk'!$F$9="Syariah",Medic!$B$21:$L$21,Medic!$B$12:$L$12),TRUE)+1),""))</f>
        <v>AA</v>
      </c>
      <c r="S7" s="92">
        <f t="shared" si="0"/>
        <v>257250</v>
      </c>
      <c r="T7" s="41">
        <f t="shared" ref="T7:T55" si="2">IFERROR(IF(V7&lt;&gt;" ",V7,IF(N7="","",ROUND(N7/1000*P7,2))),"Perhatikan Ketentuan Usia + Masa Asuransi")</f>
        <v>0</v>
      </c>
      <c r="U7" s="92">
        <f t="shared" ref="U7:U55" si="3">IFERROR(IF(V7&lt;&gt;" ",V7,IF(N7="","",S7+T7)),"Perhatikan Ketentuan Usia + Masa Asuransi")</f>
        <v>257250</v>
      </c>
      <c r="V7" s="77" t="str">
        <f>IF(M7="Menurun",IF(AND(Q7&gt;'Spek Produk'!$I$23,Q7&lt;&gt;""),"Usia masuk lebih besar dari fitur produk",IF(AND(Q7&lt;'Spek Produk'!$G$23,Q7&lt;&gt;0,Q7&lt;&gt;""),"Usia masuk lebih rendah dari fitur produk",IF(N7&gt;'Spek Produk'!$F$20,"UP lebih besar dari fitur produk",IF(K7+L7/12&gt;'Spek Produk'!$I$22,"Masa asuransi lebih besar dari fitur produk",IF(AND(Q7+K7+L7/12&gt;'Spek Produk'!$H$24,Q7&lt;&gt;0,Q7&lt;&gt;""),"Maksimum masa asuransi untuk nasabah berusia "&amp;Q7&amp;" tahun adalah "&amp;MAX(0,'Spek Produk'!$H$24-Q7)&amp;" tahun",IF(AND(0&lt;K7+L7/12,K7+L7/12&lt;'Spek Produk'!$G$22),"Masa asuransi lebih kecil dari fitur produk"," ")))))),IF(AND(Q7&gt;'Spek Produk'!$I$35,Q7&lt;&gt;""),"Usia masuk lebih besar dari fitur produk",IF(AND(Q7&lt;'Spek Produk'!$G$35,Q7&lt;&gt;0,Q7&lt;&gt;""),"Usia masuk lebih rendah dari fitur produk",IF(N7&gt;'Spek Produk'!$F$32,"UP lebih besar dari fitur produk",IF(K7+L7/12&gt;'Spek Produk'!$I$34,"Masa asuransi lebih besar dari fitur produk",IF(AND(Q7+K7+L7/12&gt;'Spek Produk'!$H$36,Q7&lt;&gt;0,Q7&lt;&gt;""),"Maksimum masa asuransi untuk nasabah berusia "&amp;Q7&amp;" tahun adalah "&amp;MAX(0,'Spek Produk'!$H$36-Q7)&amp;" tahun",IF(AND(0&lt;K7+L7/12,K7+L7/12&lt;'Spek Produk'!$G$34),"Masa asuransi lebih Kecil dari fitur produk"," ")))))))</f>
        <v xml:space="preserve"> </v>
      </c>
      <c r="W7" s="77"/>
    </row>
    <row r="8" spans="1:23" x14ac:dyDescent="0.35">
      <c r="A8" s="43">
        <f t="shared" ref="A8:A55" si="4">+A7+1</f>
        <v>3</v>
      </c>
      <c r="B8" s="34" t="s">
        <v>101</v>
      </c>
      <c r="C8" s="35" t="s">
        <v>70</v>
      </c>
      <c r="D8" s="34" t="s">
        <v>75</v>
      </c>
      <c r="E8" s="36" t="s">
        <v>106</v>
      </c>
      <c r="F8" s="33" t="s">
        <v>72</v>
      </c>
      <c r="G8" s="33" t="s">
        <v>13</v>
      </c>
      <c r="H8" s="37" t="s">
        <v>83</v>
      </c>
      <c r="I8" s="89">
        <v>25194</v>
      </c>
      <c r="J8" s="89">
        <v>45992</v>
      </c>
      <c r="K8" s="33">
        <v>5</v>
      </c>
      <c r="L8" s="33">
        <v>0</v>
      </c>
      <c r="M8" s="33" t="s">
        <v>93</v>
      </c>
      <c r="N8" s="38">
        <v>50000000</v>
      </c>
      <c r="P8" s="83">
        <v>0</v>
      </c>
      <c r="Q8" s="39">
        <f t="shared" si="1"/>
        <v>57</v>
      </c>
      <c r="R8" s="40" t="str">
        <f>IF(V8&lt;&gt;" ",V8,IFERROR(VLOOKUP(Q8,IF('Spek Produk'!$F$9="Syariah",Medic!$A$21:$L$27,Medic!$A$12:$L$18),MATCH(N8,IF('Spek Produk'!$F$9="Syariah",Medic!$B$21:$L$21,Medic!$B$12:$L$12),TRUE)+1),""))</f>
        <v>A</v>
      </c>
      <c r="S8" s="92">
        <f t="shared" si="0"/>
        <v>1406000</v>
      </c>
      <c r="T8" s="41">
        <f t="shared" si="2"/>
        <v>0</v>
      </c>
      <c r="U8" s="92">
        <f t="shared" si="3"/>
        <v>1406000</v>
      </c>
      <c r="V8" s="77" t="str">
        <f>IF(M8="Menurun",IF(AND(Q8&gt;'Spek Produk'!$I$23,Q8&lt;&gt;""),"Usia masuk lebih besar dari fitur produk",IF(AND(Q8&lt;'Spek Produk'!$G$23,Q8&lt;&gt;0,Q8&lt;&gt;""),"Usia masuk lebih rendah dari fitur produk",IF(N8&gt;'Spek Produk'!$F$20,"UP lebih besar dari fitur produk",IF(K8+L8/12&gt;'Spek Produk'!$I$22,"Masa asuransi lebih besar dari fitur produk",IF(AND(Q8+K8+L8/12&gt;'Spek Produk'!$H$24,Q8&lt;&gt;0,Q8&lt;&gt;""),"Maksimum masa asuransi untuk nasabah berusia "&amp;Q8&amp;" tahun adalah "&amp;MAX(0,'Spek Produk'!$H$24-Q8)&amp;" tahun",IF(AND(0&lt;K8+L8/12,K8+L8/12&lt;'Spek Produk'!$G$22),"Masa asuransi lebih kecil dari fitur produk"," ")))))),IF(AND(Q8&gt;'Spek Produk'!$I$35,Q8&lt;&gt;""),"Usia masuk lebih besar dari fitur produk",IF(AND(Q8&lt;'Spek Produk'!$G$35,Q8&lt;&gt;0,Q8&lt;&gt;""),"Usia masuk lebih rendah dari fitur produk",IF(N8&gt;'Spek Produk'!$F$32,"UP lebih besar dari fitur produk",IF(K8+L8/12&gt;'Spek Produk'!$I$34,"Masa asuransi lebih besar dari fitur produk",IF(AND(Q8+K8+L8/12&gt;'Spek Produk'!$H$36,Q8&lt;&gt;0,Q8&lt;&gt;""),"Maksimum masa asuransi untuk nasabah berusia "&amp;Q8&amp;" tahun adalah "&amp;MAX(0,'Spek Produk'!$H$36-Q8)&amp;" tahun",IF(AND(0&lt;K8+L8/12,K8+L8/12&lt;'Spek Produk'!$G$34),"Masa asuransi lebih Kecil dari fitur produk"," ")))))))</f>
        <v xml:space="preserve"> </v>
      </c>
      <c r="W8" s="77"/>
    </row>
    <row r="9" spans="1:23" x14ac:dyDescent="0.35">
      <c r="A9" s="43">
        <f t="shared" si="4"/>
        <v>4</v>
      </c>
      <c r="B9" s="34" t="s">
        <v>102</v>
      </c>
      <c r="C9" s="35" t="s">
        <v>70</v>
      </c>
      <c r="D9" s="34" t="s">
        <v>76</v>
      </c>
      <c r="E9" s="36" t="s">
        <v>107</v>
      </c>
      <c r="F9" s="33" t="s">
        <v>72</v>
      </c>
      <c r="G9" s="33" t="s">
        <v>73</v>
      </c>
      <c r="H9" s="37" t="s">
        <v>84</v>
      </c>
      <c r="I9" s="89">
        <v>30568</v>
      </c>
      <c r="J9" s="89">
        <v>45992</v>
      </c>
      <c r="K9" s="33">
        <v>3</v>
      </c>
      <c r="L9" s="33">
        <v>1</v>
      </c>
      <c r="M9" s="33" t="s">
        <v>93</v>
      </c>
      <c r="N9" s="38">
        <v>90000000</v>
      </c>
      <c r="P9" s="83">
        <v>0</v>
      </c>
      <c r="Q9" s="39">
        <f t="shared" si="1"/>
        <v>42</v>
      </c>
      <c r="R9" s="40" t="str">
        <f>IF(V9&lt;&gt;" ",V9,IFERROR(VLOOKUP(Q9,IF('Spek Produk'!$F$9="Syariah",Medic!$A$21:$L$27,Medic!$A$12:$L$18),MATCH(N9,IF('Spek Produk'!$F$9="Syariah",Medic!$B$21:$L$21,Medic!$B$12:$L$12),TRUE)+1),""))</f>
        <v>AA</v>
      </c>
      <c r="S9" s="92">
        <f t="shared" si="0"/>
        <v>1550700</v>
      </c>
      <c r="T9" s="41">
        <f t="shared" si="2"/>
        <v>0</v>
      </c>
      <c r="U9" s="92">
        <f t="shared" si="3"/>
        <v>1550700</v>
      </c>
      <c r="V9" s="77" t="str">
        <f>IF(M9="Menurun",IF(AND(Q9&gt;'Spek Produk'!$I$23,Q9&lt;&gt;""),"Usia masuk lebih besar dari fitur produk",IF(AND(Q9&lt;'Spek Produk'!$G$23,Q9&lt;&gt;0,Q9&lt;&gt;""),"Usia masuk lebih rendah dari fitur produk",IF(N9&gt;'Spek Produk'!$F$20,"UP lebih besar dari fitur produk",IF(K9+L9/12&gt;'Spek Produk'!$I$22,"Masa asuransi lebih besar dari fitur produk",IF(AND(Q9+K9+L9/12&gt;'Spek Produk'!$H$24,Q9&lt;&gt;0,Q9&lt;&gt;""),"Maksimum masa asuransi untuk nasabah berusia "&amp;Q9&amp;" tahun adalah "&amp;MAX(0,'Spek Produk'!$H$24-Q9)&amp;" tahun",IF(AND(0&lt;K9+L9/12,K9+L9/12&lt;'Spek Produk'!$G$22),"Masa asuransi lebih kecil dari fitur produk"," ")))))),IF(AND(Q9&gt;'Spek Produk'!$I$35,Q9&lt;&gt;""),"Usia masuk lebih besar dari fitur produk",IF(AND(Q9&lt;'Spek Produk'!$G$35,Q9&lt;&gt;0,Q9&lt;&gt;""),"Usia masuk lebih rendah dari fitur produk",IF(N9&gt;'Spek Produk'!$F$32,"UP lebih besar dari fitur produk",IF(K9+L9/12&gt;'Spek Produk'!$I$34,"Masa asuransi lebih besar dari fitur produk",IF(AND(Q9+K9+L9/12&gt;'Spek Produk'!$H$36,Q9&lt;&gt;0,Q9&lt;&gt;""),"Maksimum masa asuransi untuk nasabah berusia "&amp;Q9&amp;" tahun adalah "&amp;MAX(0,'Spek Produk'!$H$36-Q9)&amp;" tahun",IF(AND(0&lt;K9+L9/12,K9+L9/12&lt;'Spek Produk'!$G$34),"Masa asuransi lebih Kecil dari fitur produk"," ")))))))</f>
        <v xml:space="preserve"> </v>
      </c>
      <c r="W9" s="77"/>
    </row>
    <row r="10" spans="1:23" x14ac:dyDescent="0.35">
      <c r="A10" s="43">
        <f t="shared" si="4"/>
        <v>5</v>
      </c>
      <c r="B10" s="34" t="s">
        <v>103</v>
      </c>
      <c r="C10" s="35" t="s">
        <v>70</v>
      </c>
      <c r="D10" s="34" t="s">
        <v>77</v>
      </c>
      <c r="E10" s="36" t="s">
        <v>108</v>
      </c>
      <c r="F10" s="33" t="s">
        <v>72</v>
      </c>
      <c r="G10" s="33" t="s">
        <v>13</v>
      </c>
      <c r="H10" s="37" t="s">
        <v>85</v>
      </c>
      <c r="I10" s="89">
        <v>27067</v>
      </c>
      <c r="J10" s="89">
        <v>45992</v>
      </c>
      <c r="K10" s="33">
        <v>5</v>
      </c>
      <c r="L10" s="33">
        <v>0</v>
      </c>
      <c r="M10" s="33" t="s">
        <v>93</v>
      </c>
      <c r="N10" s="38">
        <v>20000000</v>
      </c>
      <c r="P10" s="83">
        <v>0</v>
      </c>
      <c r="Q10" s="39">
        <f t="shared" si="1"/>
        <v>52</v>
      </c>
      <c r="R10" s="40" t="str">
        <f>IF(V10&lt;&gt;" ",V10,IFERROR(VLOOKUP(Q10,IF('Spek Produk'!$F$9="Syariah",Medic!$A$21:$L$27,Medic!$A$12:$L$18),MATCH(N10,IF('Spek Produk'!$F$9="Syariah",Medic!$B$21:$L$21,Medic!$B$12:$L$12),TRUE)+1),""))</f>
        <v>NM</v>
      </c>
      <c r="S10" s="92">
        <f t="shared" si="0"/>
        <v>562400</v>
      </c>
      <c r="T10" s="41">
        <f t="shared" si="2"/>
        <v>0</v>
      </c>
      <c r="U10" s="92">
        <f t="shared" si="3"/>
        <v>562400</v>
      </c>
      <c r="V10" s="77" t="str">
        <f>IF(M10="Menurun",IF(AND(Q10&gt;'Spek Produk'!$I$23,Q10&lt;&gt;""),"Usia masuk lebih besar dari fitur produk",IF(AND(Q10&lt;'Spek Produk'!$G$23,Q10&lt;&gt;0,Q10&lt;&gt;""),"Usia masuk lebih rendah dari fitur produk",IF(N10&gt;'Spek Produk'!$F$20,"UP lebih besar dari fitur produk",IF(K10+L10/12&gt;'Spek Produk'!$I$22,"Masa asuransi lebih besar dari fitur produk",IF(AND(Q10+K10+L10/12&gt;'Spek Produk'!$H$24,Q10&lt;&gt;0,Q10&lt;&gt;""),"Maksimum masa asuransi untuk nasabah berusia "&amp;Q10&amp;" tahun adalah "&amp;MAX(0,'Spek Produk'!$H$24-Q10)&amp;" tahun",IF(AND(0&lt;K10+L10/12,K10+L10/12&lt;'Spek Produk'!$G$22),"Masa asuransi lebih kecil dari fitur produk"," ")))))),IF(AND(Q10&gt;'Spek Produk'!$I$35,Q10&lt;&gt;""),"Usia masuk lebih besar dari fitur produk",IF(AND(Q10&lt;'Spek Produk'!$G$35,Q10&lt;&gt;0,Q10&lt;&gt;""),"Usia masuk lebih rendah dari fitur produk",IF(N10&gt;'Spek Produk'!$F$32,"UP lebih besar dari fitur produk",IF(K10+L10/12&gt;'Spek Produk'!$I$34,"Masa asuransi lebih besar dari fitur produk",IF(AND(Q10+K10+L10/12&gt;'Spek Produk'!$H$36,Q10&lt;&gt;0,Q10&lt;&gt;""),"Maksimum masa asuransi untuk nasabah berusia "&amp;Q10&amp;" tahun adalah "&amp;MAX(0,'Spek Produk'!$H$36-Q10)&amp;" tahun",IF(AND(0&lt;K10+L10/12,K10+L10/12&lt;'Spek Produk'!$G$34),"Masa asuransi lebih Kecil dari fitur produk"," ")))))))</f>
        <v xml:space="preserve"> </v>
      </c>
      <c r="W10" s="77"/>
    </row>
    <row r="11" spans="1:23" x14ac:dyDescent="0.35">
      <c r="A11" s="43">
        <f t="shared" si="4"/>
        <v>6</v>
      </c>
      <c r="B11" s="34"/>
      <c r="C11" s="35"/>
      <c r="D11" s="34"/>
      <c r="E11" s="36"/>
      <c r="F11" s="33"/>
      <c r="G11" s="33"/>
      <c r="H11" s="37"/>
      <c r="I11" s="89"/>
      <c r="J11" s="89"/>
      <c r="K11" s="33"/>
      <c r="L11" s="33"/>
      <c r="M11" s="33"/>
      <c r="N11" s="38"/>
      <c r="P11" s="83">
        <v>0</v>
      </c>
      <c r="Q11" s="39">
        <f t="shared" si="1"/>
        <v>0</v>
      </c>
      <c r="R11" s="40" t="str">
        <f>IF(V11&lt;&gt;" ",V11,IFERROR(VLOOKUP(Q11,IF('Spek Produk'!$F$9="Syariah",Medic!$A$21:$L$27,Medic!$A$12:$L$18),MATCH(N11,IF('Spek Produk'!$F$9="Syariah",Medic!$B$21:$L$21,Medic!$B$12:$L$12),TRUE)+1),""))</f>
        <v/>
      </c>
      <c r="S11" s="92" t="str">
        <f t="shared" si="0"/>
        <v/>
      </c>
      <c r="T11" s="41" t="str">
        <f t="shared" si="2"/>
        <v/>
      </c>
      <c r="U11" s="92" t="str">
        <f t="shared" si="3"/>
        <v/>
      </c>
      <c r="V11" s="77" t="str">
        <f>IF(M11="Menurun",IF(AND(Q11&gt;'Spek Produk'!$I$23,Q11&lt;&gt;""),"Usia masuk lebih besar dari fitur produk",IF(AND(Q11&lt;'Spek Produk'!$G$23,Q11&lt;&gt;0,Q11&lt;&gt;""),"Usia masuk lebih rendah dari fitur produk",IF(N11&gt;'Spek Produk'!$F$20,"UP lebih besar dari fitur produk",IF(K11+L11/12&gt;'Spek Produk'!$I$22,"Masa asuransi lebih besar dari fitur produk",IF(AND(Q11+K11+L11/12&gt;'Spek Produk'!$H$24,Q11&lt;&gt;0,Q11&lt;&gt;""),"Maksimum masa asuransi untuk nasabah berusia "&amp;Q11&amp;" tahun adalah "&amp;MAX(0,'Spek Produk'!$H$24-Q11)&amp;" tahun",IF(AND(0&lt;K11+L11/12,K11+L11/12&lt;'Spek Produk'!$G$22),"Masa asuransi lebih kecil dari fitur produk"," ")))))),IF(AND(Q11&gt;'Spek Produk'!$I$35,Q11&lt;&gt;""),"Usia masuk lebih besar dari fitur produk",IF(AND(Q11&lt;'Spek Produk'!$G$35,Q11&lt;&gt;0,Q11&lt;&gt;""),"Usia masuk lebih rendah dari fitur produk",IF(N11&gt;'Spek Produk'!$F$32,"UP lebih besar dari fitur produk",IF(K11+L11/12&gt;'Spek Produk'!$I$34,"Masa asuransi lebih besar dari fitur produk",IF(AND(Q11+K11+L11/12&gt;'Spek Produk'!$H$36,Q11&lt;&gt;0,Q11&lt;&gt;""),"Maksimum masa asuransi untuk nasabah berusia "&amp;Q11&amp;" tahun adalah "&amp;MAX(0,'Spek Produk'!$H$36-Q11)&amp;" tahun",IF(AND(0&lt;K11+L11/12,K11+L11/12&lt;'Spek Produk'!$G$34),"Masa asuransi lebih Kecil dari fitur produk"," ")))))))</f>
        <v xml:space="preserve"> </v>
      </c>
      <c r="W11" s="77"/>
    </row>
    <row r="12" spans="1:23" x14ac:dyDescent="0.35">
      <c r="A12" s="43">
        <f t="shared" si="4"/>
        <v>7</v>
      </c>
      <c r="B12" s="34"/>
      <c r="C12" s="35"/>
      <c r="D12" s="34"/>
      <c r="E12" s="36"/>
      <c r="F12" s="33"/>
      <c r="G12" s="33"/>
      <c r="H12" s="37"/>
      <c r="I12" s="89"/>
      <c r="J12" s="89"/>
      <c r="K12" s="33"/>
      <c r="L12" s="33"/>
      <c r="M12" s="33"/>
      <c r="N12" s="38"/>
      <c r="P12" s="83">
        <v>0</v>
      </c>
      <c r="Q12" s="39">
        <f t="shared" si="1"/>
        <v>0</v>
      </c>
      <c r="R12" s="40" t="str">
        <f>IF(V12&lt;&gt;" ",V12,IFERROR(VLOOKUP(Q12,IF('Spek Produk'!$F$9="Syariah",Medic!$A$21:$L$27,Medic!$A$12:$L$18),MATCH(N12,IF('Spek Produk'!$F$9="Syariah",Medic!$B$21:$L$21,Medic!$B$12:$L$12),TRUE)+1),""))</f>
        <v/>
      </c>
      <c r="S12" s="92" t="str">
        <f t="shared" si="0"/>
        <v/>
      </c>
      <c r="T12" s="41" t="str">
        <f t="shared" si="2"/>
        <v/>
      </c>
      <c r="U12" s="92" t="str">
        <f t="shared" si="3"/>
        <v/>
      </c>
      <c r="V12" s="77" t="str">
        <f>IF(M12="Menurun",IF(AND(Q12&gt;'Spek Produk'!$I$23,Q12&lt;&gt;""),"Usia masuk lebih besar dari fitur produk",IF(AND(Q12&lt;'Spek Produk'!$G$23,Q12&lt;&gt;0,Q12&lt;&gt;""),"Usia masuk lebih rendah dari fitur produk",IF(N12&gt;'Spek Produk'!$F$20,"UP lebih besar dari fitur produk",IF(K12+L12/12&gt;'Spek Produk'!$I$22,"Masa asuransi lebih besar dari fitur produk",IF(AND(Q12+K12+L12/12&gt;'Spek Produk'!$H$24,Q12&lt;&gt;0,Q12&lt;&gt;""),"Maksimum masa asuransi untuk nasabah berusia "&amp;Q12&amp;" tahun adalah "&amp;MAX(0,'Spek Produk'!$H$24-Q12)&amp;" tahun",IF(AND(0&lt;K12+L12/12,K12+L12/12&lt;'Spek Produk'!$G$22),"Masa asuransi lebih kecil dari fitur produk"," ")))))),IF(AND(Q12&gt;'Spek Produk'!$I$35,Q12&lt;&gt;""),"Usia masuk lebih besar dari fitur produk",IF(AND(Q12&lt;'Spek Produk'!$G$35,Q12&lt;&gt;0,Q12&lt;&gt;""),"Usia masuk lebih rendah dari fitur produk",IF(N12&gt;'Spek Produk'!$F$32,"UP lebih besar dari fitur produk",IF(K12+L12/12&gt;'Spek Produk'!$I$34,"Masa asuransi lebih besar dari fitur produk",IF(AND(Q12+K12+L12/12&gt;'Spek Produk'!$H$36,Q12&lt;&gt;0,Q12&lt;&gt;""),"Maksimum masa asuransi untuk nasabah berusia "&amp;Q12&amp;" tahun adalah "&amp;MAX(0,'Spek Produk'!$H$36-Q12)&amp;" tahun",IF(AND(0&lt;K12+L12/12,K12+L12/12&lt;'Spek Produk'!$G$34),"Masa asuransi lebih Kecil dari fitur produk"," ")))))))</f>
        <v xml:space="preserve"> </v>
      </c>
      <c r="W12" s="77"/>
    </row>
    <row r="13" spans="1:23" x14ac:dyDescent="0.35">
      <c r="A13" s="43">
        <f t="shared" si="4"/>
        <v>8</v>
      </c>
      <c r="B13" s="34"/>
      <c r="C13" s="35"/>
      <c r="D13" s="34"/>
      <c r="E13" s="36"/>
      <c r="F13" s="33"/>
      <c r="G13" s="33"/>
      <c r="H13" s="37"/>
      <c r="I13" s="89"/>
      <c r="J13" s="89"/>
      <c r="K13" s="33"/>
      <c r="L13" s="33"/>
      <c r="M13" s="33"/>
      <c r="N13" s="38"/>
      <c r="P13" s="83">
        <v>0</v>
      </c>
      <c r="Q13" s="39">
        <f t="shared" si="1"/>
        <v>0</v>
      </c>
      <c r="R13" s="40" t="str">
        <f>IF(V13&lt;&gt;" ",V13,IFERROR(VLOOKUP(Q13,IF('Spek Produk'!$F$9="Syariah",Medic!$A$21:$L$27,Medic!$A$12:$L$18),MATCH(N13,IF('Spek Produk'!$F$9="Syariah",Medic!$B$21:$L$21,Medic!$B$12:$L$12),TRUE)+1),""))</f>
        <v/>
      </c>
      <c r="S13" s="92" t="str">
        <f t="shared" si="0"/>
        <v/>
      </c>
      <c r="T13" s="41" t="str">
        <f t="shared" si="2"/>
        <v/>
      </c>
      <c r="U13" s="92" t="str">
        <f t="shared" si="3"/>
        <v/>
      </c>
      <c r="V13" s="77" t="str">
        <f>IF(M13="Menurun",IF(AND(Q13&gt;'Spek Produk'!$I$23,Q13&lt;&gt;""),"Usia masuk lebih besar dari fitur produk",IF(AND(Q13&lt;'Spek Produk'!$G$23,Q13&lt;&gt;0,Q13&lt;&gt;""),"Usia masuk lebih rendah dari fitur produk",IF(N13&gt;'Spek Produk'!$F$20,"UP lebih besar dari fitur produk",IF(K13+L13/12&gt;'Spek Produk'!$I$22,"Masa asuransi lebih besar dari fitur produk",IF(AND(Q13+K13+L13/12&gt;'Spek Produk'!$H$24,Q13&lt;&gt;0,Q13&lt;&gt;""),"Maksimum masa asuransi untuk nasabah berusia "&amp;Q13&amp;" tahun adalah "&amp;MAX(0,'Spek Produk'!$H$24-Q13)&amp;" tahun",IF(AND(0&lt;K13+L13/12,K13+L13/12&lt;'Spek Produk'!$G$22),"Masa asuransi lebih kecil dari fitur produk"," ")))))),IF(AND(Q13&gt;'Spek Produk'!$I$35,Q13&lt;&gt;""),"Usia masuk lebih besar dari fitur produk",IF(AND(Q13&lt;'Spek Produk'!$G$35,Q13&lt;&gt;0,Q13&lt;&gt;""),"Usia masuk lebih rendah dari fitur produk",IF(N13&gt;'Spek Produk'!$F$32,"UP lebih besar dari fitur produk",IF(K13+L13/12&gt;'Spek Produk'!$I$34,"Masa asuransi lebih besar dari fitur produk",IF(AND(Q13+K13+L13/12&gt;'Spek Produk'!$H$36,Q13&lt;&gt;0,Q13&lt;&gt;""),"Maksimum masa asuransi untuk nasabah berusia "&amp;Q13&amp;" tahun adalah "&amp;MAX(0,'Spek Produk'!$H$36-Q13)&amp;" tahun",IF(AND(0&lt;K13+L13/12,K13+L13/12&lt;'Spek Produk'!$G$34),"Masa asuransi lebih Kecil dari fitur produk"," ")))))))</f>
        <v xml:space="preserve"> </v>
      </c>
      <c r="W13" s="77"/>
    </row>
    <row r="14" spans="1:23" x14ac:dyDescent="0.35">
      <c r="A14" s="43">
        <f t="shared" si="4"/>
        <v>9</v>
      </c>
      <c r="B14" s="34"/>
      <c r="C14" s="35"/>
      <c r="D14" s="34"/>
      <c r="E14" s="36"/>
      <c r="F14" s="33"/>
      <c r="G14" s="33"/>
      <c r="H14" s="37"/>
      <c r="I14" s="89"/>
      <c r="J14" s="89"/>
      <c r="K14" s="33"/>
      <c r="L14" s="33"/>
      <c r="M14" s="33"/>
      <c r="N14" s="38"/>
      <c r="P14" s="83">
        <v>0</v>
      </c>
      <c r="Q14" s="39">
        <f t="shared" si="1"/>
        <v>0</v>
      </c>
      <c r="R14" s="40" t="str">
        <f>IF(V14&lt;&gt;" ",V14,IFERROR(VLOOKUP(Q14,IF('Spek Produk'!$F$9="Syariah",Medic!$A$21:$L$27,Medic!$A$12:$L$18),MATCH(N14,IF('Spek Produk'!$F$9="Syariah",Medic!$B$21:$L$21,Medic!$B$12:$L$12),TRUE)+1),""))</f>
        <v/>
      </c>
      <c r="S14" s="92" t="str">
        <f t="shared" si="0"/>
        <v/>
      </c>
      <c r="T14" s="41" t="str">
        <f t="shared" si="2"/>
        <v/>
      </c>
      <c r="U14" s="92" t="str">
        <f t="shared" si="3"/>
        <v/>
      </c>
      <c r="V14" s="77" t="str">
        <f>IF(M14="Menurun",IF(AND(Q14&gt;'Spek Produk'!$I$23,Q14&lt;&gt;""),"Usia masuk lebih besar dari fitur produk",IF(AND(Q14&lt;'Spek Produk'!$G$23,Q14&lt;&gt;0,Q14&lt;&gt;""),"Usia masuk lebih rendah dari fitur produk",IF(N14&gt;'Spek Produk'!$F$20,"UP lebih besar dari fitur produk",IF(K14+L14/12&gt;'Spek Produk'!$I$22,"Masa asuransi lebih besar dari fitur produk",IF(AND(Q14+K14+L14/12&gt;'Spek Produk'!$H$24,Q14&lt;&gt;0,Q14&lt;&gt;""),"Maksimum masa asuransi untuk nasabah berusia "&amp;Q14&amp;" tahun adalah "&amp;MAX(0,'Spek Produk'!$H$24-Q14)&amp;" tahun",IF(AND(0&lt;K14+L14/12,K14+L14/12&lt;'Spek Produk'!$G$22),"Masa asuransi lebih kecil dari fitur produk"," ")))))),IF(AND(Q14&gt;'Spek Produk'!$I$35,Q14&lt;&gt;""),"Usia masuk lebih besar dari fitur produk",IF(AND(Q14&lt;'Spek Produk'!$G$35,Q14&lt;&gt;0,Q14&lt;&gt;""),"Usia masuk lebih rendah dari fitur produk",IF(N14&gt;'Spek Produk'!$F$32,"UP lebih besar dari fitur produk",IF(K14+L14/12&gt;'Spek Produk'!$I$34,"Masa asuransi lebih besar dari fitur produk",IF(AND(Q14+K14+L14/12&gt;'Spek Produk'!$H$36,Q14&lt;&gt;0,Q14&lt;&gt;""),"Maksimum masa asuransi untuk nasabah berusia "&amp;Q14&amp;" tahun adalah "&amp;MAX(0,'Spek Produk'!$H$36-Q14)&amp;" tahun",IF(AND(0&lt;K14+L14/12,K14+L14/12&lt;'Spek Produk'!$G$34),"Masa asuransi lebih Kecil dari fitur produk"," ")))))))</f>
        <v xml:space="preserve"> </v>
      </c>
      <c r="W14" s="77"/>
    </row>
    <row r="15" spans="1:23" x14ac:dyDescent="0.35">
      <c r="A15" s="43">
        <f t="shared" si="4"/>
        <v>10</v>
      </c>
      <c r="B15" s="34"/>
      <c r="C15" s="35"/>
      <c r="D15" s="34"/>
      <c r="E15" s="36"/>
      <c r="F15" s="33"/>
      <c r="G15" s="33"/>
      <c r="H15" s="37"/>
      <c r="I15" s="89"/>
      <c r="J15" s="89"/>
      <c r="K15" s="33"/>
      <c r="L15" s="33"/>
      <c r="M15" s="33"/>
      <c r="N15" s="38"/>
      <c r="P15" s="83">
        <v>0</v>
      </c>
      <c r="Q15" s="39">
        <f t="shared" si="1"/>
        <v>0</v>
      </c>
      <c r="R15" s="40" t="str">
        <f>IF(V15&lt;&gt;" ",V15,IFERROR(VLOOKUP(Q15,IF('Spek Produk'!$F$9="Syariah",Medic!$A$21:$L$27,Medic!$A$12:$L$18),MATCH(N15,IF('Spek Produk'!$F$9="Syariah",Medic!$B$21:$L$21,Medic!$B$12:$L$12),TRUE)+1),""))</f>
        <v/>
      </c>
      <c r="S15" s="92" t="str">
        <f t="shared" si="0"/>
        <v/>
      </c>
      <c r="T15" s="41" t="str">
        <f t="shared" si="2"/>
        <v/>
      </c>
      <c r="U15" s="92" t="str">
        <f t="shared" si="3"/>
        <v/>
      </c>
      <c r="V15" s="77" t="str">
        <f>IF(M15="Menurun",IF(AND(Q15&gt;'Spek Produk'!$I$23,Q15&lt;&gt;""),"Usia masuk lebih besar dari fitur produk",IF(AND(Q15&lt;'Spek Produk'!$G$23,Q15&lt;&gt;0,Q15&lt;&gt;""),"Usia masuk lebih rendah dari fitur produk",IF(N15&gt;'Spek Produk'!$F$20,"UP lebih besar dari fitur produk",IF(K15+L15/12&gt;'Spek Produk'!$I$22,"Masa asuransi lebih besar dari fitur produk",IF(AND(Q15+K15+L15/12&gt;'Spek Produk'!$H$24,Q15&lt;&gt;0,Q15&lt;&gt;""),"Maksimum masa asuransi untuk nasabah berusia "&amp;Q15&amp;" tahun adalah "&amp;MAX(0,'Spek Produk'!$H$24-Q15)&amp;" tahun",IF(AND(0&lt;K15+L15/12,K15+L15/12&lt;'Spek Produk'!$G$22),"Masa asuransi lebih kecil dari fitur produk"," ")))))),IF(AND(Q15&gt;'Spek Produk'!$I$35,Q15&lt;&gt;""),"Usia masuk lebih besar dari fitur produk",IF(AND(Q15&lt;'Spek Produk'!$G$35,Q15&lt;&gt;0,Q15&lt;&gt;""),"Usia masuk lebih rendah dari fitur produk",IF(N15&gt;'Spek Produk'!$F$32,"UP lebih besar dari fitur produk",IF(K15+L15/12&gt;'Spek Produk'!$I$34,"Masa asuransi lebih besar dari fitur produk",IF(AND(Q15+K15+L15/12&gt;'Spek Produk'!$H$36,Q15&lt;&gt;0,Q15&lt;&gt;""),"Maksimum masa asuransi untuk nasabah berusia "&amp;Q15&amp;" tahun adalah "&amp;MAX(0,'Spek Produk'!$H$36-Q15)&amp;" tahun",IF(AND(0&lt;K15+L15/12,K15+L15/12&lt;'Spek Produk'!$G$34),"Masa asuransi lebih Kecil dari fitur produk"," ")))))))</f>
        <v xml:space="preserve"> </v>
      </c>
      <c r="W15" s="77"/>
    </row>
    <row r="16" spans="1:23" x14ac:dyDescent="0.35">
      <c r="A16" s="43">
        <f t="shared" si="4"/>
        <v>11</v>
      </c>
      <c r="B16" s="34"/>
      <c r="C16" s="35"/>
      <c r="D16" s="34"/>
      <c r="E16" s="36"/>
      <c r="F16" s="33"/>
      <c r="G16" s="33"/>
      <c r="H16" s="37"/>
      <c r="I16" s="89"/>
      <c r="J16" s="89"/>
      <c r="K16" s="33"/>
      <c r="L16" s="33"/>
      <c r="M16" s="33"/>
      <c r="N16" s="38"/>
      <c r="P16" s="83">
        <v>0</v>
      </c>
      <c r="Q16" s="39">
        <f t="shared" si="1"/>
        <v>0</v>
      </c>
      <c r="R16" s="40" t="str">
        <f>IF(V16&lt;&gt;" ",V16,IFERROR(VLOOKUP(Q16,IF('Spek Produk'!$F$9="Syariah",Medic!$A$21:$L$27,Medic!$A$12:$L$18),MATCH(N16,IF('Spek Produk'!$F$9="Syariah",Medic!$B$21:$L$21,Medic!$B$12:$L$12),TRUE)+1),""))</f>
        <v/>
      </c>
      <c r="S16" s="92" t="str">
        <f t="shared" si="0"/>
        <v/>
      </c>
      <c r="T16" s="41" t="str">
        <f t="shared" si="2"/>
        <v/>
      </c>
      <c r="U16" s="92" t="str">
        <f t="shared" si="3"/>
        <v/>
      </c>
      <c r="V16" s="77" t="str">
        <f>IF(M16="Menurun",IF(AND(Q16&gt;'Spek Produk'!$I$23,Q16&lt;&gt;""),"Usia masuk lebih besar dari fitur produk",IF(AND(Q16&lt;'Spek Produk'!$G$23,Q16&lt;&gt;0,Q16&lt;&gt;""),"Usia masuk lebih rendah dari fitur produk",IF(N16&gt;'Spek Produk'!$F$20,"UP lebih besar dari fitur produk",IF(K16+L16/12&gt;'Spek Produk'!$I$22,"Masa asuransi lebih besar dari fitur produk",IF(AND(Q16+K16+L16/12&gt;'Spek Produk'!$H$24,Q16&lt;&gt;0,Q16&lt;&gt;""),"Maksimum masa asuransi untuk nasabah berusia "&amp;Q16&amp;" tahun adalah "&amp;MAX(0,'Spek Produk'!$H$24-Q16)&amp;" tahun",IF(AND(0&lt;K16+L16/12,K16+L16/12&lt;'Spek Produk'!$G$22),"Masa asuransi lebih kecil dari fitur produk"," ")))))),IF(AND(Q16&gt;'Spek Produk'!$I$35,Q16&lt;&gt;""),"Usia masuk lebih besar dari fitur produk",IF(AND(Q16&lt;'Spek Produk'!$G$35,Q16&lt;&gt;0,Q16&lt;&gt;""),"Usia masuk lebih rendah dari fitur produk",IF(N16&gt;'Spek Produk'!$F$32,"UP lebih besar dari fitur produk",IF(K16+L16/12&gt;'Spek Produk'!$I$34,"Masa asuransi lebih besar dari fitur produk",IF(AND(Q16+K16+L16/12&gt;'Spek Produk'!$H$36,Q16&lt;&gt;0,Q16&lt;&gt;""),"Maksimum masa asuransi untuk nasabah berusia "&amp;Q16&amp;" tahun adalah "&amp;MAX(0,'Spek Produk'!$H$36-Q16)&amp;" tahun",IF(AND(0&lt;K16+L16/12,K16+L16/12&lt;'Spek Produk'!$G$34),"Masa asuransi lebih Kecil dari fitur produk"," ")))))))</f>
        <v xml:space="preserve"> </v>
      </c>
      <c r="W16" s="77"/>
    </row>
    <row r="17" spans="1:23" x14ac:dyDescent="0.35">
      <c r="A17" s="43">
        <f t="shared" si="4"/>
        <v>12</v>
      </c>
      <c r="B17" s="34"/>
      <c r="C17" s="35"/>
      <c r="D17" s="34"/>
      <c r="E17" s="36"/>
      <c r="F17" s="33"/>
      <c r="G17" s="33"/>
      <c r="H17" s="37"/>
      <c r="I17" s="89"/>
      <c r="J17" s="89"/>
      <c r="K17" s="33"/>
      <c r="L17" s="33"/>
      <c r="M17" s="33"/>
      <c r="N17" s="38"/>
      <c r="P17" s="83">
        <v>0</v>
      </c>
      <c r="Q17" s="39">
        <f t="shared" si="1"/>
        <v>0</v>
      </c>
      <c r="R17" s="40" t="str">
        <f>IF(V17&lt;&gt;" ",V17,IFERROR(VLOOKUP(Q17,IF('Spek Produk'!$F$9="Syariah",Medic!$A$21:$L$27,Medic!$A$12:$L$18),MATCH(N17,IF('Spek Produk'!$F$9="Syariah",Medic!$B$21:$L$21,Medic!$B$12:$L$12),TRUE)+1),""))</f>
        <v/>
      </c>
      <c r="S17" s="92" t="str">
        <f t="shared" si="0"/>
        <v/>
      </c>
      <c r="T17" s="41" t="str">
        <f t="shared" si="2"/>
        <v/>
      </c>
      <c r="U17" s="92" t="str">
        <f t="shared" si="3"/>
        <v/>
      </c>
      <c r="V17" s="77" t="str">
        <f>IF(M17="Menurun",IF(AND(Q17&gt;'Spek Produk'!$I$23,Q17&lt;&gt;""),"Usia masuk lebih besar dari fitur produk",IF(AND(Q17&lt;'Spek Produk'!$G$23,Q17&lt;&gt;0,Q17&lt;&gt;""),"Usia masuk lebih rendah dari fitur produk",IF(N17&gt;'Spek Produk'!$F$20,"UP lebih besar dari fitur produk",IF(K17+L17/12&gt;'Spek Produk'!$I$22,"Masa asuransi lebih besar dari fitur produk",IF(AND(Q17+K17+L17/12&gt;'Spek Produk'!$H$24,Q17&lt;&gt;0,Q17&lt;&gt;""),"Maksimum masa asuransi untuk nasabah berusia "&amp;Q17&amp;" tahun adalah "&amp;MAX(0,'Spek Produk'!$H$24-Q17)&amp;" tahun",IF(AND(0&lt;K17+L17/12,K17+L17/12&lt;'Spek Produk'!$G$22),"Masa asuransi lebih kecil dari fitur produk"," ")))))),IF(AND(Q17&gt;'Spek Produk'!$I$35,Q17&lt;&gt;""),"Usia masuk lebih besar dari fitur produk",IF(AND(Q17&lt;'Spek Produk'!$G$35,Q17&lt;&gt;0,Q17&lt;&gt;""),"Usia masuk lebih rendah dari fitur produk",IF(N17&gt;'Spek Produk'!$F$32,"UP lebih besar dari fitur produk",IF(K17+L17/12&gt;'Spek Produk'!$I$34,"Masa asuransi lebih besar dari fitur produk",IF(AND(Q17+K17+L17/12&gt;'Spek Produk'!$H$36,Q17&lt;&gt;0,Q17&lt;&gt;""),"Maksimum masa asuransi untuk nasabah berusia "&amp;Q17&amp;" tahun adalah "&amp;MAX(0,'Spek Produk'!$H$36-Q17)&amp;" tahun",IF(AND(0&lt;K17+L17/12,K17+L17/12&lt;'Spek Produk'!$G$34),"Masa asuransi lebih Kecil dari fitur produk"," ")))))))</f>
        <v xml:space="preserve"> </v>
      </c>
      <c r="W17" s="77"/>
    </row>
    <row r="18" spans="1:23" x14ac:dyDescent="0.35">
      <c r="A18" s="43">
        <f t="shared" si="4"/>
        <v>13</v>
      </c>
      <c r="B18" s="34"/>
      <c r="C18" s="35"/>
      <c r="D18" s="34"/>
      <c r="E18" s="36"/>
      <c r="F18" s="33"/>
      <c r="G18" s="33"/>
      <c r="H18" s="37"/>
      <c r="I18" s="89"/>
      <c r="J18" s="89"/>
      <c r="K18" s="33"/>
      <c r="L18" s="33"/>
      <c r="M18" s="33"/>
      <c r="N18" s="38"/>
      <c r="P18" s="83">
        <v>0</v>
      </c>
      <c r="Q18" s="39">
        <f t="shared" si="1"/>
        <v>0</v>
      </c>
      <c r="R18" s="40" t="str">
        <f>IF(V18&lt;&gt;" ",V18,IFERROR(VLOOKUP(Q18,IF('Spek Produk'!$F$9="Syariah",Medic!$A$21:$L$27,Medic!$A$12:$L$18),MATCH(N18,IF('Spek Produk'!$F$9="Syariah",Medic!$B$21:$L$21,Medic!$B$12:$L$12),TRUE)+1),""))</f>
        <v/>
      </c>
      <c r="S18" s="92" t="str">
        <f t="shared" si="0"/>
        <v/>
      </c>
      <c r="T18" s="41" t="str">
        <f t="shared" si="2"/>
        <v/>
      </c>
      <c r="U18" s="92" t="str">
        <f t="shared" si="3"/>
        <v/>
      </c>
      <c r="V18" s="77" t="str">
        <f>IF(M18="Menurun",IF(AND(Q18&gt;'Spek Produk'!$I$23,Q18&lt;&gt;""),"Usia masuk lebih besar dari fitur produk",IF(AND(Q18&lt;'Spek Produk'!$G$23,Q18&lt;&gt;0,Q18&lt;&gt;""),"Usia masuk lebih rendah dari fitur produk",IF(N18&gt;'Spek Produk'!$F$20,"UP lebih besar dari fitur produk",IF(K18+L18/12&gt;'Spek Produk'!$I$22,"Masa asuransi lebih besar dari fitur produk",IF(AND(Q18+K18+L18/12&gt;'Spek Produk'!$H$24,Q18&lt;&gt;0,Q18&lt;&gt;""),"Maksimum masa asuransi untuk nasabah berusia "&amp;Q18&amp;" tahun adalah "&amp;MAX(0,'Spek Produk'!$H$24-Q18)&amp;" tahun",IF(AND(0&lt;K18+L18/12,K18+L18/12&lt;'Spek Produk'!$G$22),"Masa asuransi lebih kecil dari fitur produk"," ")))))),IF(AND(Q18&gt;'Spek Produk'!$I$35,Q18&lt;&gt;""),"Usia masuk lebih besar dari fitur produk",IF(AND(Q18&lt;'Spek Produk'!$G$35,Q18&lt;&gt;0,Q18&lt;&gt;""),"Usia masuk lebih rendah dari fitur produk",IF(N18&gt;'Spek Produk'!$F$32,"UP lebih besar dari fitur produk",IF(K18+L18/12&gt;'Spek Produk'!$I$34,"Masa asuransi lebih besar dari fitur produk",IF(AND(Q18+K18+L18/12&gt;'Spek Produk'!$H$36,Q18&lt;&gt;0,Q18&lt;&gt;""),"Maksimum masa asuransi untuk nasabah berusia "&amp;Q18&amp;" tahun adalah "&amp;MAX(0,'Spek Produk'!$H$36-Q18)&amp;" tahun",IF(AND(0&lt;K18+L18/12,K18+L18/12&lt;'Spek Produk'!$G$34),"Masa asuransi lebih Kecil dari fitur produk"," ")))))))</f>
        <v xml:space="preserve"> </v>
      </c>
      <c r="W18" s="77"/>
    </row>
    <row r="19" spans="1:23" x14ac:dyDescent="0.35">
      <c r="A19" s="43">
        <f t="shared" si="4"/>
        <v>14</v>
      </c>
      <c r="B19" s="34"/>
      <c r="C19" s="35"/>
      <c r="D19" s="34"/>
      <c r="E19" s="36"/>
      <c r="F19" s="33"/>
      <c r="G19" s="33"/>
      <c r="H19" s="37"/>
      <c r="I19" s="89"/>
      <c r="J19" s="89"/>
      <c r="K19" s="33"/>
      <c r="L19" s="33"/>
      <c r="M19" s="33"/>
      <c r="N19" s="38"/>
      <c r="P19" s="83">
        <v>0</v>
      </c>
      <c r="Q19" s="39">
        <f t="shared" si="1"/>
        <v>0</v>
      </c>
      <c r="R19" s="40" t="str">
        <f>IF(V19&lt;&gt;" ",V19,IFERROR(VLOOKUP(Q19,IF('Spek Produk'!$F$9="Syariah",Medic!$A$21:$L$27,Medic!$A$12:$L$18),MATCH(N19,IF('Spek Produk'!$F$9="Syariah",Medic!$B$21:$L$21,Medic!$B$12:$L$12),TRUE)+1),""))</f>
        <v/>
      </c>
      <c r="S19" s="92" t="str">
        <f t="shared" si="0"/>
        <v/>
      </c>
      <c r="T19" s="41" t="str">
        <f t="shared" si="2"/>
        <v/>
      </c>
      <c r="U19" s="92" t="str">
        <f t="shared" si="3"/>
        <v/>
      </c>
      <c r="V19" s="77" t="str">
        <f>IF(M19="Menurun",IF(AND(Q19&gt;'Spek Produk'!$I$23,Q19&lt;&gt;""),"Usia masuk lebih besar dari fitur produk",IF(AND(Q19&lt;'Spek Produk'!$G$23,Q19&lt;&gt;0,Q19&lt;&gt;""),"Usia masuk lebih rendah dari fitur produk",IF(N19&gt;'Spek Produk'!$F$20,"UP lebih besar dari fitur produk",IF(K19+L19/12&gt;'Spek Produk'!$I$22,"Masa asuransi lebih besar dari fitur produk",IF(AND(Q19+K19+L19/12&gt;'Spek Produk'!$H$24,Q19&lt;&gt;0,Q19&lt;&gt;""),"Maksimum masa asuransi untuk nasabah berusia "&amp;Q19&amp;" tahun adalah "&amp;MAX(0,'Spek Produk'!$H$24-Q19)&amp;" tahun",IF(AND(0&lt;K19+L19/12,K19+L19/12&lt;'Spek Produk'!$G$22),"Masa asuransi lebih kecil dari fitur produk"," ")))))),IF(AND(Q19&gt;'Spek Produk'!$I$35,Q19&lt;&gt;""),"Usia masuk lebih besar dari fitur produk",IF(AND(Q19&lt;'Spek Produk'!$G$35,Q19&lt;&gt;0,Q19&lt;&gt;""),"Usia masuk lebih rendah dari fitur produk",IF(N19&gt;'Spek Produk'!$F$32,"UP lebih besar dari fitur produk",IF(K19+L19/12&gt;'Spek Produk'!$I$34,"Masa asuransi lebih besar dari fitur produk",IF(AND(Q19+K19+L19/12&gt;'Spek Produk'!$H$36,Q19&lt;&gt;0,Q19&lt;&gt;""),"Maksimum masa asuransi untuk nasabah berusia "&amp;Q19&amp;" tahun adalah "&amp;MAX(0,'Spek Produk'!$H$36-Q19)&amp;" tahun",IF(AND(0&lt;K19+L19/12,K19+L19/12&lt;'Spek Produk'!$G$34),"Masa asuransi lebih Kecil dari fitur produk"," ")))))))</f>
        <v xml:space="preserve"> </v>
      </c>
      <c r="W19" s="77"/>
    </row>
    <row r="20" spans="1:23" x14ac:dyDescent="0.35">
      <c r="A20" s="43">
        <f t="shared" si="4"/>
        <v>15</v>
      </c>
      <c r="B20" s="34"/>
      <c r="C20" s="35"/>
      <c r="D20" s="34"/>
      <c r="E20" s="36"/>
      <c r="F20" s="33"/>
      <c r="G20" s="33"/>
      <c r="H20" s="37"/>
      <c r="I20" s="89"/>
      <c r="J20" s="89"/>
      <c r="K20" s="33"/>
      <c r="L20" s="33"/>
      <c r="M20" s="33"/>
      <c r="N20" s="38"/>
      <c r="P20" s="83">
        <v>0</v>
      </c>
      <c r="Q20" s="39">
        <f t="shared" si="1"/>
        <v>0</v>
      </c>
      <c r="R20" s="40" t="str">
        <f>IF(V20&lt;&gt;" ",V20,IFERROR(VLOOKUP(Q20,IF('Spek Produk'!$F$9="Syariah",Medic!$A$21:$L$27,Medic!$A$12:$L$18),MATCH(N20,IF('Spek Produk'!$F$9="Syariah",Medic!$B$21:$L$21,Medic!$B$12:$L$12),TRUE)+1),""))</f>
        <v/>
      </c>
      <c r="S20" s="92" t="str">
        <f t="shared" si="0"/>
        <v/>
      </c>
      <c r="T20" s="41" t="str">
        <f t="shared" si="2"/>
        <v/>
      </c>
      <c r="U20" s="92" t="str">
        <f t="shared" si="3"/>
        <v/>
      </c>
      <c r="V20" s="77" t="str">
        <f>IF(M20="Menurun",IF(AND(Q20&gt;'Spek Produk'!$I$23,Q20&lt;&gt;""),"Usia masuk lebih besar dari fitur produk",IF(AND(Q20&lt;'Spek Produk'!$G$23,Q20&lt;&gt;0,Q20&lt;&gt;""),"Usia masuk lebih rendah dari fitur produk",IF(N20&gt;'Spek Produk'!$F$20,"UP lebih besar dari fitur produk",IF(K20+L20/12&gt;'Spek Produk'!$I$22,"Masa asuransi lebih besar dari fitur produk",IF(AND(Q20+K20+L20/12&gt;'Spek Produk'!$H$24,Q20&lt;&gt;0,Q20&lt;&gt;""),"Maksimum masa asuransi untuk nasabah berusia "&amp;Q20&amp;" tahun adalah "&amp;MAX(0,'Spek Produk'!$H$24-Q20)&amp;" tahun",IF(AND(0&lt;K20+L20/12,K20+L20/12&lt;'Spek Produk'!$G$22),"Masa asuransi lebih kecil dari fitur produk"," ")))))),IF(AND(Q20&gt;'Spek Produk'!$I$35,Q20&lt;&gt;""),"Usia masuk lebih besar dari fitur produk",IF(AND(Q20&lt;'Spek Produk'!$G$35,Q20&lt;&gt;0,Q20&lt;&gt;""),"Usia masuk lebih rendah dari fitur produk",IF(N20&gt;'Spek Produk'!$F$32,"UP lebih besar dari fitur produk",IF(K20+L20/12&gt;'Spek Produk'!$I$34,"Masa asuransi lebih besar dari fitur produk",IF(AND(Q20+K20+L20/12&gt;'Spek Produk'!$H$36,Q20&lt;&gt;0,Q20&lt;&gt;""),"Maksimum masa asuransi untuk nasabah berusia "&amp;Q20&amp;" tahun adalah "&amp;MAX(0,'Spek Produk'!$H$36-Q20)&amp;" tahun",IF(AND(0&lt;K20+L20/12,K20+L20/12&lt;'Spek Produk'!$G$34),"Masa asuransi lebih Kecil dari fitur produk"," ")))))))</f>
        <v xml:space="preserve"> </v>
      </c>
      <c r="W20" s="77"/>
    </row>
    <row r="21" spans="1:23" x14ac:dyDescent="0.35">
      <c r="A21" s="43">
        <f t="shared" si="4"/>
        <v>16</v>
      </c>
      <c r="B21" s="34"/>
      <c r="C21" s="35"/>
      <c r="D21" s="34"/>
      <c r="E21" s="36"/>
      <c r="F21" s="33"/>
      <c r="G21" s="33"/>
      <c r="H21" s="37"/>
      <c r="I21" s="89"/>
      <c r="J21" s="89"/>
      <c r="K21" s="33"/>
      <c r="L21" s="33"/>
      <c r="M21" s="33"/>
      <c r="N21" s="38"/>
      <c r="P21" s="83">
        <v>0</v>
      </c>
      <c r="Q21" s="39">
        <f t="shared" si="1"/>
        <v>0</v>
      </c>
      <c r="R21" s="40" t="str">
        <f>IF(V21&lt;&gt;" ",V21,IFERROR(VLOOKUP(Q21,IF('Spek Produk'!$F$9="Syariah",Medic!$A$21:$L$27,Medic!$A$12:$L$18),MATCH(N21,IF('Spek Produk'!$F$9="Syariah",Medic!$B$21:$L$21,Medic!$B$12:$L$12),TRUE)+1),""))</f>
        <v/>
      </c>
      <c r="S21" s="92" t="str">
        <f t="shared" si="0"/>
        <v/>
      </c>
      <c r="T21" s="41" t="str">
        <f t="shared" si="2"/>
        <v/>
      </c>
      <c r="U21" s="92" t="str">
        <f t="shared" si="3"/>
        <v/>
      </c>
      <c r="V21" s="77" t="str">
        <f>IF(M21="Menurun",IF(AND(Q21&gt;'Spek Produk'!$I$23,Q21&lt;&gt;""),"Usia masuk lebih besar dari fitur produk",IF(AND(Q21&lt;'Spek Produk'!$G$23,Q21&lt;&gt;0,Q21&lt;&gt;""),"Usia masuk lebih rendah dari fitur produk",IF(N21&gt;'Spek Produk'!$F$20,"UP lebih besar dari fitur produk",IF(K21+L21/12&gt;'Spek Produk'!$I$22,"Masa asuransi lebih besar dari fitur produk",IF(AND(Q21+K21+L21/12&gt;'Spek Produk'!$H$24,Q21&lt;&gt;0,Q21&lt;&gt;""),"Maksimum masa asuransi untuk nasabah berusia "&amp;Q21&amp;" tahun adalah "&amp;MAX(0,'Spek Produk'!$H$24-Q21)&amp;" tahun",IF(AND(0&lt;K21+L21/12,K21+L21/12&lt;'Spek Produk'!$G$22),"Masa asuransi lebih kecil dari fitur produk"," ")))))),IF(AND(Q21&gt;'Spek Produk'!$I$35,Q21&lt;&gt;""),"Usia masuk lebih besar dari fitur produk",IF(AND(Q21&lt;'Spek Produk'!$G$35,Q21&lt;&gt;0,Q21&lt;&gt;""),"Usia masuk lebih rendah dari fitur produk",IF(N21&gt;'Spek Produk'!$F$32,"UP lebih besar dari fitur produk",IF(K21+L21/12&gt;'Spek Produk'!$I$34,"Masa asuransi lebih besar dari fitur produk",IF(AND(Q21+K21+L21/12&gt;'Spek Produk'!$H$36,Q21&lt;&gt;0,Q21&lt;&gt;""),"Maksimum masa asuransi untuk nasabah berusia "&amp;Q21&amp;" tahun adalah "&amp;MAX(0,'Spek Produk'!$H$36-Q21)&amp;" tahun",IF(AND(0&lt;K21+L21/12,K21+L21/12&lt;'Spek Produk'!$G$34),"Masa asuransi lebih Kecil dari fitur produk"," ")))))))</f>
        <v xml:space="preserve"> </v>
      </c>
      <c r="W21" s="77"/>
    </row>
    <row r="22" spans="1:23" x14ac:dyDescent="0.35">
      <c r="A22" s="43">
        <f t="shared" si="4"/>
        <v>17</v>
      </c>
      <c r="B22" s="34"/>
      <c r="C22" s="35"/>
      <c r="D22" s="34"/>
      <c r="E22" s="36"/>
      <c r="F22" s="33"/>
      <c r="G22" s="33"/>
      <c r="H22" s="37"/>
      <c r="I22" s="89"/>
      <c r="J22" s="89"/>
      <c r="K22" s="33"/>
      <c r="L22" s="33"/>
      <c r="M22" s="33"/>
      <c r="N22" s="38"/>
      <c r="P22" s="83">
        <v>0</v>
      </c>
      <c r="Q22" s="39">
        <f t="shared" si="1"/>
        <v>0</v>
      </c>
      <c r="R22" s="40" t="str">
        <f>IF(V22&lt;&gt;" ",V22,IFERROR(VLOOKUP(Q22,IF('Spek Produk'!$F$9="Syariah",Medic!$A$21:$L$27,Medic!$A$12:$L$18),MATCH(N22,IF('Spek Produk'!$F$9="Syariah",Medic!$B$21:$L$21,Medic!$B$12:$L$12),TRUE)+1),""))</f>
        <v/>
      </c>
      <c r="S22" s="92" t="str">
        <f t="shared" si="0"/>
        <v/>
      </c>
      <c r="T22" s="41" t="str">
        <f t="shared" si="2"/>
        <v/>
      </c>
      <c r="U22" s="92" t="str">
        <f t="shared" si="3"/>
        <v/>
      </c>
      <c r="V22" s="77" t="str">
        <f>IF(M22="Menurun",IF(AND(Q22&gt;'Spek Produk'!$I$23,Q22&lt;&gt;""),"Usia masuk lebih besar dari fitur produk",IF(AND(Q22&lt;'Spek Produk'!$G$23,Q22&lt;&gt;0,Q22&lt;&gt;""),"Usia masuk lebih rendah dari fitur produk",IF(N22&gt;'Spek Produk'!$F$20,"UP lebih besar dari fitur produk",IF(K22+L22/12&gt;'Spek Produk'!$I$22,"Masa asuransi lebih besar dari fitur produk",IF(AND(Q22+K22+L22/12&gt;'Spek Produk'!$H$24,Q22&lt;&gt;0,Q22&lt;&gt;""),"Maksimum masa asuransi untuk nasabah berusia "&amp;Q22&amp;" tahun adalah "&amp;MAX(0,'Spek Produk'!$H$24-Q22)&amp;" tahun",IF(AND(0&lt;K22+L22/12,K22+L22/12&lt;'Spek Produk'!$G$22),"Masa asuransi lebih kecil dari fitur produk"," ")))))),IF(AND(Q22&gt;'Spek Produk'!$I$35,Q22&lt;&gt;""),"Usia masuk lebih besar dari fitur produk",IF(AND(Q22&lt;'Spek Produk'!$G$35,Q22&lt;&gt;0,Q22&lt;&gt;""),"Usia masuk lebih rendah dari fitur produk",IF(N22&gt;'Spek Produk'!$F$32,"UP lebih besar dari fitur produk",IF(K22+L22/12&gt;'Spek Produk'!$I$34,"Masa asuransi lebih besar dari fitur produk",IF(AND(Q22+K22+L22/12&gt;'Spek Produk'!$H$36,Q22&lt;&gt;0,Q22&lt;&gt;""),"Maksimum masa asuransi untuk nasabah berusia "&amp;Q22&amp;" tahun adalah "&amp;MAX(0,'Spek Produk'!$H$36-Q22)&amp;" tahun",IF(AND(0&lt;K22+L22/12,K22+L22/12&lt;'Spek Produk'!$G$34),"Masa asuransi lebih Kecil dari fitur produk"," ")))))))</f>
        <v xml:space="preserve"> </v>
      </c>
      <c r="W22" s="77"/>
    </row>
    <row r="23" spans="1:23" x14ac:dyDescent="0.35">
      <c r="A23" s="43">
        <f t="shared" si="4"/>
        <v>18</v>
      </c>
      <c r="B23" s="34"/>
      <c r="C23" s="35"/>
      <c r="D23" s="34"/>
      <c r="E23" s="36"/>
      <c r="F23" s="33"/>
      <c r="G23" s="33"/>
      <c r="H23" s="37"/>
      <c r="I23" s="89"/>
      <c r="J23" s="89"/>
      <c r="K23" s="33"/>
      <c r="L23" s="33"/>
      <c r="M23" s="33"/>
      <c r="N23" s="38"/>
      <c r="P23" s="83">
        <v>0</v>
      </c>
      <c r="Q23" s="39">
        <f t="shared" si="1"/>
        <v>0</v>
      </c>
      <c r="R23" s="40" t="str">
        <f>IF(V23&lt;&gt;" ",V23,IFERROR(VLOOKUP(Q23,IF('Spek Produk'!$F$9="Syariah",Medic!$A$21:$L$27,Medic!$A$12:$L$18),MATCH(N23,IF('Spek Produk'!$F$9="Syariah",Medic!$B$21:$L$21,Medic!$B$12:$L$12),TRUE)+1),""))</f>
        <v/>
      </c>
      <c r="S23" s="92" t="str">
        <f t="shared" si="0"/>
        <v/>
      </c>
      <c r="T23" s="41" t="str">
        <f t="shared" si="2"/>
        <v/>
      </c>
      <c r="U23" s="92" t="str">
        <f t="shared" si="3"/>
        <v/>
      </c>
      <c r="V23" s="77" t="str">
        <f>IF(M23="Menurun",IF(AND(Q23&gt;'Spek Produk'!$I$23,Q23&lt;&gt;""),"Usia masuk lebih besar dari fitur produk",IF(AND(Q23&lt;'Spek Produk'!$G$23,Q23&lt;&gt;0,Q23&lt;&gt;""),"Usia masuk lebih rendah dari fitur produk",IF(N23&gt;'Spek Produk'!$F$20,"UP lebih besar dari fitur produk",IF(K23+L23/12&gt;'Spek Produk'!$I$22,"Masa asuransi lebih besar dari fitur produk",IF(AND(Q23+K23+L23/12&gt;'Spek Produk'!$H$24,Q23&lt;&gt;0,Q23&lt;&gt;""),"Maksimum masa asuransi untuk nasabah berusia "&amp;Q23&amp;" tahun adalah "&amp;MAX(0,'Spek Produk'!$H$24-Q23)&amp;" tahun",IF(AND(0&lt;K23+L23/12,K23+L23/12&lt;'Spek Produk'!$G$22),"Masa asuransi lebih kecil dari fitur produk"," ")))))),IF(AND(Q23&gt;'Spek Produk'!$I$35,Q23&lt;&gt;""),"Usia masuk lebih besar dari fitur produk",IF(AND(Q23&lt;'Spek Produk'!$G$35,Q23&lt;&gt;0,Q23&lt;&gt;""),"Usia masuk lebih rendah dari fitur produk",IF(N23&gt;'Spek Produk'!$F$32,"UP lebih besar dari fitur produk",IF(K23+L23/12&gt;'Spek Produk'!$I$34,"Masa asuransi lebih besar dari fitur produk",IF(AND(Q23+K23+L23/12&gt;'Spek Produk'!$H$36,Q23&lt;&gt;0,Q23&lt;&gt;""),"Maksimum masa asuransi untuk nasabah berusia "&amp;Q23&amp;" tahun adalah "&amp;MAX(0,'Spek Produk'!$H$36-Q23)&amp;" tahun",IF(AND(0&lt;K23+L23/12,K23+L23/12&lt;'Spek Produk'!$G$34),"Masa asuransi lebih Kecil dari fitur produk"," ")))))))</f>
        <v xml:space="preserve"> </v>
      </c>
      <c r="W23" s="77"/>
    </row>
    <row r="24" spans="1:23" x14ac:dyDescent="0.35">
      <c r="A24" s="43">
        <f t="shared" si="4"/>
        <v>19</v>
      </c>
      <c r="B24" s="34"/>
      <c r="C24" s="35"/>
      <c r="D24" s="34"/>
      <c r="E24" s="36"/>
      <c r="F24" s="33"/>
      <c r="G24" s="33"/>
      <c r="H24" s="37"/>
      <c r="I24" s="89"/>
      <c r="J24" s="89"/>
      <c r="K24" s="33"/>
      <c r="L24" s="33"/>
      <c r="M24" s="33"/>
      <c r="N24" s="38"/>
      <c r="P24" s="83">
        <v>0</v>
      </c>
      <c r="Q24" s="39">
        <f t="shared" si="1"/>
        <v>0</v>
      </c>
      <c r="R24" s="40" t="str">
        <f>IF(V24&lt;&gt;" ",V24,IFERROR(VLOOKUP(Q24,IF('Spek Produk'!$F$9="Syariah",Medic!$A$21:$L$27,Medic!$A$12:$L$18),MATCH(N24,IF('Spek Produk'!$F$9="Syariah",Medic!$B$21:$L$21,Medic!$B$12:$L$12),TRUE)+1),""))</f>
        <v/>
      </c>
      <c r="S24" s="92" t="str">
        <f t="shared" si="0"/>
        <v/>
      </c>
      <c r="T24" s="41" t="str">
        <f t="shared" si="2"/>
        <v/>
      </c>
      <c r="U24" s="92" t="str">
        <f t="shared" si="3"/>
        <v/>
      </c>
      <c r="V24" s="77" t="str">
        <f>IF(M24="Menurun",IF(AND(Q24&gt;'Spek Produk'!$I$23,Q24&lt;&gt;""),"Usia masuk lebih besar dari fitur produk",IF(AND(Q24&lt;'Spek Produk'!$G$23,Q24&lt;&gt;0,Q24&lt;&gt;""),"Usia masuk lebih rendah dari fitur produk",IF(N24&gt;'Spek Produk'!$F$20,"UP lebih besar dari fitur produk",IF(K24+L24/12&gt;'Spek Produk'!$I$22,"Masa asuransi lebih besar dari fitur produk",IF(AND(Q24+K24+L24/12&gt;'Spek Produk'!$H$24,Q24&lt;&gt;0,Q24&lt;&gt;""),"Maksimum masa asuransi untuk nasabah berusia "&amp;Q24&amp;" tahun adalah "&amp;MAX(0,'Spek Produk'!$H$24-Q24)&amp;" tahun",IF(AND(0&lt;K24+L24/12,K24+L24/12&lt;'Spek Produk'!$G$22),"Masa asuransi lebih kecil dari fitur produk"," ")))))),IF(AND(Q24&gt;'Spek Produk'!$I$35,Q24&lt;&gt;""),"Usia masuk lebih besar dari fitur produk",IF(AND(Q24&lt;'Spek Produk'!$G$35,Q24&lt;&gt;0,Q24&lt;&gt;""),"Usia masuk lebih rendah dari fitur produk",IF(N24&gt;'Spek Produk'!$F$32,"UP lebih besar dari fitur produk",IF(K24+L24/12&gt;'Spek Produk'!$I$34,"Masa asuransi lebih besar dari fitur produk",IF(AND(Q24+K24+L24/12&gt;'Spek Produk'!$H$36,Q24&lt;&gt;0,Q24&lt;&gt;""),"Maksimum masa asuransi untuk nasabah berusia "&amp;Q24&amp;" tahun adalah "&amp;MAX(0,'Spek Produk'!$H$36-Q24)&amp;" tahun",IF(AND(0&lt;K24+L24/12,K24+L24/12&lt;'Spek Produk'!$G$34),"Masa asuransi lebih Kecil dari fitur produk"," ")))))))</f>
        <v xml:space="preserve"> </v>
      </c>
      <c r="W24" s="77"/>
    </row>
    <row r="25" spans="1:23" x14ac:dyDescent="0.35">
      <c r="A25" s="43">
        <f t="shared" si="4"/>
        <v>20</v>
      </c>
      <c r="B25" s="34"/>
      <c r="C25" s="35"/>
      <c r="D25" s="34"/>
      <c r="E25" s="36"/>
      <c r="F25" s="33"/>
      <c r="G25" s="33"/>
      <c r="H25" s="37"/>
      <c r="I25" s="89"/>
      <c r="J25" s="89"/>
      <c r="K25" s="33"/>
      <c r="L25" s="33"/>
      <c r="M25" s="33"/>
      <c r="N25" s="38"/>
      <c r="P25" s="83">
        <v>0</v>
      </c>
      <c r="Q25" s="39">
        <f t="shared" si="1"/>
        <v>0</v>
      </c>
      <c r="R25" s="40" t="str">
        <f>IF(V25&lt;&gt;" ",V25,IFERROR(VLOOKUP(Q25,IF('Spek Produk'!$F$9="Syariah",Medic!$A$21:$L$27,Medic!$A$12:$L$18),MATCH(N25,IF('Spek Produk'!$F$9="Syariah",Medic!$B$21:$L$21,Medic!$B$12:$L$12),TRUE)+1),""))</f>
        <v/>
      </c>
      <c r="S25" s="92" t="str">
        <f t="shared" si="0"/>
        <v/>
      </c>
      <c r="T25" s="41" t="str">
        <f t="shared" si="2"/>
        <v/>
      </c>
      <c r="U25" s="92" t="str">
        <f t="shared" si="3"/>
        <v/>
      </c>
      <c r="V25" s="77" t="str">
        <f>IF(M25="Menurun",IF(AND(Q25&gt;'Spek Produk'!$I$23,Q25&lt;&gt;""),"Usia masuk lebih besar dari fitur produk",IF(AND(Q25&lt;'Spek Produk'!$G$23,Q25&lt;&gt;0,Q25&lt;&gt;""),"Usia masuk lebih rendah dari fitur produk",IF(N25&gt;'Spek Produk'!$F$20,"UP lebih besar dari fitur produk",IF(K25+L25/12&gt;'Spek Produk'!$I$22,"Masa asuransi lebih besar dari fitur produk",IF(AND(Q25+K25+L25/12&gt;'Spek Produk'!$H$24,Q25&lt;&gt;0,Q25&lt;&gt;""),"Maksimum masa asuransi untuk nasabah berusia "&amp;Q25&amp;" tahun adalah "&amp;MAX(0,'Spek Produk'!$H$24-Q25)&amp;" tahun",IF(AND(0&lt;K25+L25/12,K25+L25/12&lt;'Spek Produk'!$G$22),"Masa asuransi lebih kecil dari fitur produk"," ")))))),IF(AND(Q25&gt;'Spek Produk'!$I$35,Q25&lt;&gt;""),"Usia masuk lebih besar dari fitur produk",IF(AND(Q25&lt;'Spek Produk'!$G$35,Q25&lt;&gt;0,Q25&lt;&gt;""),"Usia masuk lebih rendah dari fitur produk",IF(N25&gt;'Spek Produk'!$F$32,"UP lebih besar dari fitur produk",IF(K25+L25/12&gt;'Spek Produk'!$I$34,"Masa asuransi lebih besar dari fitur produk",IF(AND(Q25+K25+L25/12&gt;'Spek Produk'!$H$36,Q25&lt;&gt;0,Q25&lt;&gt;""),"Maksimum masa asuransi untuk nasabah berusia "&amp;Q25&amp;" tahun adalah "&amp;MAX(0,'Spek Produk'!$H$36-Q25)&amp;" tahun",IF(AND(0&lt;K25+L25/12,K25+L25/12&lt;'Spek Produk'!$G$34),"Masa asuransi lebih Kecil dari fitur produk"," ")))))))</f>
        <v xml:space="preserve"> </v>
      </c>
      <c r="W25" s="77"/>
    </row>
    <row r="26" spans="1:23" x14ac:dyDescent="0.35">
      <c r="A26" s="43">
        <f t="shared" si="4"/>
        <v>21</v>
      </c>
      <c r="B26" s="34"/>
      <c r="C26" s="35"/>
      <c r="D26" s="34"/>
      <c r="E26" s="36"/>
      <c r="F26" s="33"/>
      <c r="G26" s="33"/>
      <c r="H26" s="37"/>
      <c r="I26" s="89"/>
      <c r="J26" s="89"/>
      <c r="K26" s="33"/>
      <c r="L26" s="33"/>
      <c r="M26" s="33"/>
      <c r="N26" s="38"/>
      <c r="P26" s="83">
        <v>0</v>
      </c>
      <c r="Q26" s="39">
        <f t="shared" si="1"/>
        <v>0</v>
      </c>
      <c r="R26" s="40" t="str">
        <f>IF(V26&lt;&gt;" ",V26,IFERROR(VLOOKUP(Q26,IF('Spek Produk'!$F$9="Syariah",Medic!$A$21:$L$27,Medic!$A$12:$L$18),MATCH(N26,IF('Spek Produk'!$F$9="Syariah",Medic!$B$21:$L$21,Medic!$B$12:$L$12),TRUE)+1),""))</f>
        <v/>
      </c>
      <c r="S26" s="92" t="str">
        <f t="shared" si="0"/>
        <v/>
      </c>
      <c r="T26" s="41" t="str">
        <f t="shared" si="2"/>
        <v/>
      </c>
      <c r="U26" s="92" t="str">
        <f t="shared" si="3"/>
        <v/>
      </c>
      <c r="V26" s="77" t="str">
        <f>IF(M26="Menurun",IF(AND(Q26&gt;'Spek Produk'!$I$23,Q26&lt;&gt;""),"Usia masuk lebih besar dari fitur produk",IF(AND(Q26&lt;'Spek Produk'!$G$23,Q26&lt;&gt;0,Q26&lt;&gt;""),"Usia masuk lebih rendah dari fitur produk",IF(N26&gt;'Spek Produk'!$F$20,"UP lebih besar dari fitur produk",IF(K26+L26/12&gt;'Spek Produk'!$I$22,"Masa asuransi lebih besar dari fitur produk",IF(AND(Q26+K26+L26/12&gt;'Spek Produk'!$H$24,Q26&lt;&gt;0,Q26&lt;&gt;""),"Maksimum masa asuransi untuk nasabah berusia "&amp;Q26&amp;" tahun adalah "&amp;MAX(0,'Spek Produk'!$H$24-Q26)&amp;" tahun",IF(AND(0&lt;K26+L26/12,K26+L26/12&lt;'Spek Produk'!$G$22),"Masa asuransi lebih kecil dari fitur produk"," ")))))),IF(AND(Q26&gt;'Spek Produk'!$I$35,Q26&lt;&gt;""),"Usia masuk lebih besar dari fitur produk",IF(AND(Q26&lt;'Spek Produk'!$G$35,Q26&lt;&gt;0,Q26&lt;&gt;""),"Usia masuk lebih rendah dari fitur produk",IF(N26&gt;'Spek Produk'!$F$32,"UP lebih besar dari fitur produk",IF(K26+L26/12&gt;'Spek Produk'!$I$34,"Masa asuransi lebih besar dari fitur produk",IF(AND(Q26+K26+L26/12&gt;'Spek Produk'!$H$36,Q26&lt;&gt;0,Q26&lt;&gt;""),"Maksimum masa asuransi untuk nasabah berusia "&amp;Q26&amp;" tahun adalah "&amp;MAX(0,'Spek Produk'!$H$36-Q26)&amp;" tahun",IF(AND(0&lt;K26+L26/12,K26+L26/12&lt;'Spek Produk'!$G$34),"Masa asuransi lebih Kecil dari fitur produk"," ")))))))</f>
        <v xml:space="preserve"> </v>
      </c>
      <c r="W26" s="77"/>
    </row>
    <row r="27" spans="1:23" x14ac:dyDescent="0.35">
      <c r="A27" s="43">
        <f t="shared" si="4"/>
        <v>22</v>
      </c>
      <c r="B27" s="34"/>
      <c r="C27" s="35"/>
      <c r="D27" s="34"/>
      <c r="E27" s="36"/>
      <c r="F27" s="33"/>
      <c r="G27" s="33"/>
      <c r="H27" s="37"/>
      <c r="I27" s="89"/>
      <c r="J27" s="89"/>
      <c r="K27" s="33"/>
      <c r="L27" s="33"/>
      <c r="M27" s="33"/>
      <c r="N27" s="38"/>
      <c r="P27" s="83">
        <v>0</v>
      </c>
      <c r="Q27" s="39">
        <f t="shared" si="1"/>
        <v>0</v>
      </c>
      <c r="R27" s="40" t="str">
        <f>IF(V27&lt;&gt;" ",V27,IFERROR(VLOOKUP(Q27,IF('Spek Produk'!$F$9="Syariah",Medic!$A$21:$L$27,Medic!$A$12:$L$18),MATCH(N27,IF('Spek Produk'!$F$9="Syariah",Medic!$B$21:$L$21,Medic!$B$12:$L$12),TRUE)+1),""))</f>
        <v/>
      </c>
      <c r="S27" s="92" t="str">
        <f t="shared" si="0"/>
        <v/>
      </c>
      <c r="T27" s="41" t="str">
        <f t="shared" si="2"/>
        <v/>
      </c>
      <c r="U27" s="92" t="str">
        <f t="shared" si="3"/>
        <v/>
      </c>
      <c r="V27" s="77" t="str">
        <f>IF(M27="Menurun",IF(AND(Q27&gt;'Spek Produk'!$I$23,Q27&lt;&gt;""),"Usia masuk lebih besar dari fitur produk",IF(AND(Q27&lt;'Spek Produk'!$G$23,Q27&lt;&gt;0,Q27&lt;&gt;""),"Usia masuk lebih rendah dari fitur produk",IF(N27&gt;'Spek Produk'!$F$20,"UP lebih besar dari fitur produk",IF(K27+L27/12&gt;'Spek Produk'!$I$22,"Masa asuransi lebih besar dari fitur produk",IF(AND(Q27+K27+L27/12&gt;'Spek Produk'!$H$24,Q27&lt;&gt;0,Q27&lt;&gt;""),"Maksimum masa asuransi untuk nasabah berusia "&amp;Q27&amp;" tahun adalah "&amp;MAX(0,'Spek Produk'!$H$24-Q27)&amp;" tahun",IF(AND(0&lt;K27+L27/12,K27+L27/12&lt;'Spek Produk'!$G$22),"Masa asuransi lebih kecil dari fitur produk"," ")))))),IF(AND(Q27&gt;'Spek Produk'!$I$35,Q27&lt;&gt;""),"Usia masuk lebih besar dari fitur produk",IF(AND(Q27&lt;'Spek Produk'!$G$35,Q27&lt;&gt;0,Q27&lt;&gt;""),"Usia masuk lebih rendah dari fitur produk",IF(N27&gt;'Spek Produk'!$F$32,"UP lebih besar dari fitur produk",IF(K27+L27/12&gt;'Spek Produk'!$I$34,"Masa asuransi lebih besar dari fitur produk",IF(AND(Q27+K27+L27/12&gt;'Spek Produk'!$H$36,Q27&lt;&gt;0,Q27&lt;&gt;""),"Maksimum masa asuransi untuk nasabah berusia "&amp;Q27&amp;" tahun adalah "&amp;MAX(0,'Spek Produk'!$H$36-Q27)&amp;" tahun",IF(AND(0&lt;K27+L27/12,K27+L27/12&lt;'Spek Produk'!$G$34),"Masa asuransi lebih Kecil dari fitur produk"," ")))))))</f>
        <v xml:space="preserve"> </v>
      </c>
      <c r="W27" s="77"/>
    </row>
    <row r="28" spans="1:23" x14ac:dyDescent="0.35">
      <c r="A28" s="43">
        <f t="shared" si="4"/>
        <v>23</v>
      </c>
      <c r="B28" s="34"/>
      <c r="C28" s="35"/>
      <c r="D28" s="34"/>
      <c r="E28" s="36"/>
      <c r="F28" s="33"/>
      <c r="G28" s="33"/>
      <c r="H28" s="37"/>
      <c r="I28" s="89"/>
      <c r="J28" s="89"/>
      <c r="K28" s="33"/>
      <c r="L28" s="33"/>
      <c r="M28" s="33"/>
      <c r="N28" s="38"/>
      <c r="P28" s="83">
        <v>0</v>
      </c>
      <c r="Q28" s="39">
        <f t="shared" si="1"/>
        <v>0</v>
      </c>
      <c r="R28" s="40" t="str">
        <f>IF(V28&lt;&gt;" ",V28,IFERROR(VLOOKUP(Q28,IF('Spek Produk'!$F$9="Syariah",Medic!$A$21:$L$27,Medic!$A$12:$L$18),MATCH(N28,IF('Spek Produk'!$F$9="Syariah",Medic!$B$21:$L$21,Medic!$B$12:$L$12),TRUE)+1),""))</f>
        <v/>
      </c>
      <c r="S28" s="92" t="str">
        <f t="shared" si="0"/>
        <v/>
      </c>
      <c r="T28" s="41" t="str">
        <f t="shared" si="2"/>
        <v/>
      </c>
      <c r="U28" s="92" t="str">
        <f t="shared" si="3"/>
        <v/>
      </c>
      <c r="V28" s="77" t="str">
        <f>IF(M28="Menurun",IF(AND(Q28&gt;'Spek Produk'!$I$23,Q28&lt;&gt;""),"Usia masuk lebih besar dari fitur produk",IF(AND(Q28&lt;'Spek Produk'!$G$23,Q28&lt;&gt;0,Q28&lt;&gt;""),"Usia masuk lebih rendah dari fitur produk",IF(N28&gt;'Spek Produk'!$F$20,"UP lebih besar dari fitur produk",IF(K28+L28/12&gt;'Spek Produk'!$I$22,"Masa asuransi lebih besar dari fitur produk",IF(AND(Q28+K28+L28/12&gt;'Spek Produk'!$H$24,Q28&lt;&gt;0,Q28&lt;&gt;""),"Maksimum masa asuransi untuk nasabah berusia "&amp;Q28&amp;" tahun adalah "&amp;MAX(0,'Spek Produk'!$H$24-Q28)&amp;" tahun",IF(AND(0&lt;K28+L28/12,K28+L28/12&lt;'Spek Produk'!$G$22),"Masa asuransi lebih kecil dari fitur produk"," ")))))),IF(AND(Q28&gt;'Spek Produk'!$I$35,Q28&lt;&gt;""),"Usia masuk lebih besar dari fitur produk",IF(AND(Q28&lt;'Spek Produk'!$G$35,Q28&lt;&gt;0,Q28&lt;&gt;""),"Usia masuk lebih rendah dari fitur produk",IF(N28&gt;'Spek Produk'!$F$32,"UP lebih besar dari fitur produk",IF(K28+L28/12&gt;'Spek Produk'!$I$34,"Masa asuransi lebih besar dari fitur produk",IF(AND(Q28+K28+L28/12&gt;'Spek Produk'!$H$36,Q28&lt;&gt;0,Q28&lt;&gt;""),"Maksimum masa asuransi untuk nasabah berusia "&amp;Q28&amp;" tahun adalah "&amp;MAX(0,'Spek Produk'!$H$36-Q28)&amp;" tahun",IF(AND(0&lt;K28+L28/12,K28+L28/12&lt;'Spek Produk'!$G$34),"Masa asuransi lebih Kecil dari fitur produk"," ")))))))</f>
        <v xml:space="preserve"> </v>
      </c>
      <c r="W28" s="77"/>
    </row>
    <row r="29" spans="1:23" x14ac:dyDescent="0.35">
      <c r="A29" s="43">
        <f t="shared" si="4"/>
        <v>24</v>
      </c>
      <c r="B29" s="34"/>
      <c r="C29" s="35"/>
      <c r="D29" s="34"/>
      <c r="E29" s="36"/>
      <c r="F29" s="33"/>
      <c r="G29" s="33"/>
      <c r="H29" s="37"/>
      <c r="I29" s="89"/>
      <c r="J29" s="89"/>
      <c r="K29" s="33"/>
      <c r="L29" s="33"/>
      <c r="M29" s="33"/>
      <c r="N29" s="38"/>
      <c r="P29" s="83">
        <v>0</v>
      </c>
      <c r="Q29" s="39">
        <f t="shared" si="1"/>
        <v>0</v>
      </c>
      <c r="R29" s="40" t="str">
        <f>IF(V29&lt;&gt;" ",V29,IFERROR(VLOOKUP(Q29,IF('Spek Produk'!$F$9="Syariah",Medic!$A$21:$L$27,Medic!$A$12:$L$18),MATCH(N29,IF('Spek Produk'!$F$9="Syariah",Medic!$B$21:$L$21,Medic!$B$12:$L$12),TRUE)+1),""))</f>
        <v/>
      </c>
      <c r="S29" s="92" t="str">
        <f t="shared" si="0"/>
        <v/>
      </c>
      <c r="T29" s="41" t="str">
        <f t="shared" si="2"/>
        <v/>
      </c>
      <c r="U29" s="92" t="str">
        <f t="shared" si="3"/>
        <v/>
      </c>
      <c r="V29" s="77" t="str">
        <f>IF(M29="Menurun",IF(AND(Q29&gt;'Spek Produk'!$I$23,Q29&lt;&gt;""),"Usia masuk lebih besar dari fitur produk",IF(AND(Q29&lt;'Spek Produk'!$G$23,Q29&lt;&gt;0,Q29&lt;&gt;""),"Usia masuk lebih rendah dari fitur produk",IF(N29&gt;'Spek Produk'!$F$20,"UP lebih besar dari fitur produk",IF(K29+L29/12&gt;'Spek Produk'!$I$22,"Masa asuransi lebih besar dari fitur produk",IF(AND(Q29+K29+L29/12&gt;'Spek Produk'!$H$24,Q29&lt;&gt;0,Q29&lt;&gt;""),"Maksimum masa asuransi untuk nasabah berusia "&amp;Q29&amp;" tahun adalah "&amp;MAX(0,'Spek Produk'!$H$24-Q29)&amp;" tahun",IF(AND(0&lt;K29+L29/12,K29+L29/12&lt;'Spek Produk'!$G$22),"Masa asuransi lebih kecil dari fitur produk"," ")))))),IF(AND(Q29&gt;'Spek Produk'!$I$35,Q29&lt;&gt;""),"Usia masuk lebih besar dari fitur produk",IF(AND(Q29&lt;'Spek Produk'!$G$35,Q29&lt;&gt;0,Q29&lt;&gt;""),"Usia masuk lebih rendah dari fitur produk",IF(N29&gt;'Spek Produk'!$F$32,"UP lebih besar dari fitur produk",IF(K29+L29/12&gt;'Spek Produk'!$I$34,"Masa asuransi lebih besar dari fitur produk",IF(AND(Q29+K29+L29/12&gt;'Spek Produk'!$H$36,Q29&lt;&gt;0,Q29&lt;&gt;""),"Maksimum masa asuransi untuk nasabah berusia "&amp;Q29&amp;" tahun adalah "&amp;MAX(0,'Spek Produk'!$H$36-Q29)&amp;" tahun",IF(AND(0&lt;K29+L29/12,K29+L29/12&lt;'Spek Produk'!$G$34),"Masa asuransi lebih Kecil dari fitur produk"," ")))))))</f>
        <v xml:space="preserve"> </v>
      </c>
      <c r="W29" s="77"/>
    </row>
    <row r="30" spans="1:23" x14ac:dyDescent="0.35">
      <c r="A30" s="43">
        <f t="shared" si="4"/>
        <v>25</v>
      </c>
      <c r="B30" s="34"/>
      <c r="C30" s="35"/>
      <c r="D30" s="34"/>
      <c r="E30" s="36"/>
      <c r="F30" s="33"/>
      <c r="G30" s="33"/>
      <c r="H30" s="37"/>
      <c r="I30" s="89"/>
      <c r="J30" s="89"/>
      <c r="K30" s="33"/>
      <c r="L30" s="33"/>
      <c r="M30" s="33"/>
      <c r="N30" s="38"/>
      <c r="P30" s="83">
        <v>0</v>
      </c>
      <c r="Q30" s="39">
        <f t="shared" si="1"/>
        <v>0</v>
      </c>
      <c r="R30" s="40" t="str">
        <f>IF(V30&lt;&gt;" ",V30,IFERROR(VLOOKUP(Q30,IF('Spek Produk'!$F$9="Syariah",Medic!$A$21:$L$27,Medic!$A$12:$L$18),MATCH(N30,IF('Spek Produk'!$F$9="Syariah",Medic!$B$21:$L$21,Medic!$B$12:$L$12),TRUE)+1),""))</f>
        <v/>
      </c>
      <c r="S30" s="92" t="str">
        <f t="shared" si="0"/>
        <v/>
      </c>
      <c r="T30" s="41" t="str">
        <f t="shared" si="2"/>
        <v/>
      </c>
      <c r="U30" s="92" t="str">
        <f t="shared" si="3"/>
        <v/>
      </c>
      <c r="V30" s="77" t="str">
        <f>IF(M30="Menurun",IF(AND(Q30&gt;'Spek Produk'!$I$23,Q30&lt;&gt;""),"Usia masuk lebih besar dari fitur produk",IF(AND(Q30&lt;'Spek Produk'!$G$23,Q30&lt;&gt;0,Q30&lt;&gt;""),"Usia masuk lebih rendah dari fitur produk",IF(N30&gt;'Spek Produk'!$F$20,"UP lebih besar dari fitur produk",IF(K30+L30/12&gt;'Spek Produk'!$I$22,"Masa asuransi lebih besar dari fitur produk",IF(AND(Q30+K30+L30/12&gt;'Spek Produk'!$H$24,Q30&lt;&gt;0,Q30&lt;&gt;""),"Maksimum masa asuransi untuk nasabah berusia "&amp;Q30&amp;" tahun adalah "&amp;MAX(0,'Spek Produk'!$H$24-Q30)&amp;" tahun",IF(AND(0&lt;K30+L30/12,K30+L30/12&lt;'Spek Produk'!$G$22),"Masa asuransi lebih kecil dari fitur produk"," ")))))),IF(AND(Q30&gt;'Spek Produk'!$I$35,Q30&lt;&gt;""),"Usia masuk lebih besar dari fitur produk",IF(AND(Q30&lt;'Spek Produk'!$G$35,Q30&lt;&gt;0,Q30&lt;&gt;""),"Usia masuk lebih rendah dari fitur produk",IF(N30&gt;'Spek Produk'!$F$32,"UP lebih besar dari fitur produk",IF(K30+L30/12&gt;'Spek Produk'!$I$34,"Masa asuransi lebih besar dari fitur produk",IF(AND(Q30+K30+L30/12&gt;'Spek Produk'!$H$36,Q30&lt;&gt;0,Q30&lt;&gt;""),"Maksimum masa asuransi untuk nasabah berusia "&amp;Q30&amp;" tahun adalah "&amp;MAX(0,'Spek Produk'!$H$36-Q30)&amp;" tahun",IF(AND(0&lt;K30+L30/12,K30+L30/12&lt;'Spek Produk'!$G$34),"Masa asuransi lebih Kecil dari fitur produk"," ")))))))</f>
        <v xml:space="preserve"> </v>
      </c>
      <c r="W30" s="77"/>
    </row>
    <row r="31" spans="1:23" x14ac:dyDescent="0.35">
      <c r="A31" s="43">
        <f t="shared" si="4"/>
        <v>26</v>
      </c>
      <c r="B31" s="34"/>
      <c r="C31" s="35"/>
      <c r="D31" s="34"/>
      <c r="E31" s="36"/>
      <c r="F31" s="33"/>
      <c r="G31" s="33"/>
      <c r="H31" s="37"/>
      <c r="I31" s="89"/>
      <c r="J31" s="89"/>
      <c r="K31" s="33"/>
      <c r="L31" s="33"/>
      <c r="M31" s="33"/>
      <c r="N31" s="38"/>
      <c r="P31" s="83">
        <v>0</v>
      </c>
      <c r="Q31" s="39">
        <f t="shared" si="1"/>
        <v>0</v>
      </c>
      <c r="R31" s="40" t="str">
        <f>IF(V31&lt;&gt;" ",V31,IFERROR(VLOOKUP(Q31,IF('Spek Produk'!$F$9="Syariah",Medic!$A$21:$L$27,Medic!$A$12:$L$18),MATCH(N31,IF('Spek Produk'!$F$9="Syariah",Medic!$B$21:$L$21,Medic!$B$12:$L$12),TRUE)+1),""))</f>
        <v/>
      </c>
      <c r="S31" s="92" t="str">
        <f t="shared" si="0"/>
        <v/>
      </c>
      <c r="T31" s="41" t="str">
        <f t="shared" si="2"/>
        <v/>
      </c>
      <c r="U31" s="92" t="str">
        <f t="shared" si="3"/>
        <v/>
      </c>
      <c r="V31" s="77" t="str">
        <f>IF(M31="Menurun",IF(AND(Q31&gt;'Spek Produk'!$I$23,Q31&lt;&gt;""),"Usia masuk lebih besar dari fitur produk",IF(AND(Q31&lt;'Spek Produk'!$G$23,Q31&lt;&gt;0,Q31&lt;&gt;""),"Usia masuk lebih rendah dari fitur produk",IF(N31&gt;'Spek Produk'!$F$20,"UP lebih besar dari fitur produk",IF(K31+L31/12&gt;'Spek Produk'!$I$22,"Masa asuransi lebih besar dari fitur produk",IF(AND(Q31+K31+L31/12&gt;'Spek Produk'!$H$24,Q31&lt;&gt;0,Q31&lt;&gt;""),"Maksimum masa asuransi untuk nasabah berusia "&amp;Q31&amp;" tahun adalah "&amp;MAX(0,'Spek Produk'!$H$24-Q31)&amp;" tahun",IF(AND(0&lt;K31+L31/12,K31+L31/12&lt;'Spek Produk'!$G$22),"Masa asuransi lebih kecil dari fitur produk"," ")))))),IF(AND(Q31&gt;'Spek Produk'!$I$35,Q31&lt;&gt;""),"Usia masuk lebih besar dari fitur produk",IF(AND(Q31&lt;'Spek Produk'!$G$35,Q31&lt;&gt;0,Q31&lt;&gt;""),"Usia masuk lebih rendah dari fitur produk",IF(N31&gt;'Spek Produk'!$F$32,"UP lebih besar dari fitur produk",IF(K31+L31/12&gt;'Spek Produk'!$I$34,"Masa asuransi lebih besar dari fitur produk",IF(AND(Q31+K31+L31/12&gt;'Spek Produk'!$H$36,Q31&lt;&gt;0,Q31&lt;&gt;""),"Maksimum masa asuransi untuk nasabah berusia "&amp;Q31&amp;" tahun adalah "&amp;MAX(0,'Spek Produk'!$H$36-Q31)&amp;" tahun",IF(AND(0&lt;K31+L31/12,K31+L31/12&lt;'Spek Produk'!$G$34),"Masa asuransi lebih Kecil dari fitur produk"," ")))))))</f>
        <v xml:space="preserve"> </v>
      </c>
      <c r="W31" s="77"/>
    </row>
    <row r="32" spans="1:23" x14ac:dyDescent="0.35">
      <c r="A32" s="43">
        <f t="shared" si="4"/>
        <v>27</v>
      </c>
      <c r="B32" s="34"/>
      <c r="C32" s="35"/>
      <c r="D32" s="34"/>
      <c r="E32" s="36"/>
      <c r="F32" s="33"/>
      <c r="G32" s="33"/>
      <c r="H32" s="37"/>
      <c r="I32" s="89"/>
      <c r="J32" s="89"/>
      <c r="K32" s="33"/>
      <c r="L32" s="33"/>
      <c r="M32" s="33"/>
      <c r="N32" s="38"/>
      <c r="P32" s="83">
        <v>0</v>
      </c>
      <c r="Q32" s="39">
        <f t="shared" si="1"/>
        <v>0</v>
      </c>
      <c r="R32" s="40" t="str">
        <f>IF(V32&lt;&gt;" ",V32,IFERROR(VLOOKUP(Q32,IF('Spek Produk'!$F$9="Syariah",Medic!$A$21:$L$27,Medic!$A$12:$L$18),MATCH(N32,IF('Spek Produk'!$F$9="Syariah",Medic!$B$21:$L$21,Medic!$B$12:$L$12),TRUE)+1),""))</f>
        <v/>
      </c>
      <c r="S32" s="92" t="str">
        <f t="shared" si="0"/>
        <v/>
      </c>
      <c r="T32" s="41" t="str">
        <f t="shared" si="2"/>
        <v/>
      </c>
      <c r="U32" s="92" t="str">
        <f t="shared" si="3"/>
        <v/>
      </c>
      <c r="V32" s="77" t="str">
        <f>IF(M32="Menurun",IF(AND(Q32&gt;'Spek Produk'!$I$23,Q32&lt;&gt;""),"Usia masuk lebih besar dari fitur produk",IF(AND(Q32&lt;'Spek Produk'!$G$23,Q32&lt;&gt;0,Q32&lt;&gt;""),"Usia masuk lebih rendah dari fitur produk",IF(N32&gt;'Spek Produk'!$F$20,"UP lebih besar dari fitur produk",IF(K32+L32/12&gt;'Spek Produk'!$I$22,"Masa asuransi lebih besar dari fitur produk",IF(AND(Q32+K32+L32/12&gt;'Spek Produk'!$H$24,Q32&lt;&gt;0,Q32&lt;&gt;""),"Maksimum masa asuransi untuk nasabah berusia "&amp;Q32&amp;" tahun adalah "&amp;MAX(0,'Spek Produk'!$H$24-Q32)&amp;" tahun",IF(AND(0&lt;K32+L32/12,K32+L32/12&lt;'Spek Produk'!$G$22),"Masa asuransi lebih kecil dari fitur produk"," ")))))),IF(AND(Q32&gt;'Spek Produk'!$I$35,Q32&lt;&gt;""),"Usia masuk lebih besar dari fitur produk",IF(AND(Q32&lt;'Spek Produk'!$G$35,Q32&lt;&gt;0,Q32&lt;&gt;""),"Usia masuk lebih rendah dari fitur produk",IF(N32&gt;'Spek Produk'!$F$32,"UP lebih besar dari fitur produk",IF(K32+L32/12&gt;'Spek Produk'!$I$34,"Masa asuransi lebih besar dari fitur produk",IF(AND(Q32+K32+L32/12&gt;'Spek Produk'!$H$36,Q32&lt;&gt;0,Q32&lt;&gt;""),"Maksimum masa asuransi untuk nasabah berusia "&amp;Q32&amp;" tahun adalah "&amp;MAX(0,'Spek Produk'!$H$36-Q32)&amp;" tahun",IF(AND(0&lt;K32+L32/12,K32+L32/12&lt;'Spek Produk'!$G$34),"Masa asuransi lebih Kecil dari fitur produk"," ")))))))</f>
        <v xml:space="preserve"> </v>
      </c>
      <c r="W32" s="77"/>
    </row>
    <row r="33" spans="1:23" x14ac:dyDescent="0.35">
      <c r="A33" s="43">
        <f t="shared" si="4"/>
        <v>28</v>
      </c>
      <c r="B33" s="34"/>
      <c r="C33" s="35"/>
      <c r="D33" s="34"/>
      <c r="E33" s="36"/>
      <c r="F33" s="33"/>
      <c r="G33" s="33"/>
      <c r="H33" s="37"/>
      <c r="I33" s="89"/>
      <c r="J33" s="89"/>
      <c r="K33" s="33"/>
      <c r="L33" s="33"/>
      <c r="M33" s="33"/>
      <c r="N33" s="38"/>
      <c r="P33" s="83">
        <v>0</v>
      </c>
      <c r="Q33" s="39">
        <f t="shared" si="1"/>
        <v>0</v>
      </c>
      <c r="R33" s="40" t="str">
        <f>IF(V33&lt;&gt;" ",V33,IFERROR(VLOOKUP(Q33,IF('Spek Produk'!$F$9="Syariah",Medic!$A$21:$L$27,Medic!$A$12:$L$18),MATCH(N33,IF('Spek Produk'!$F$9="Syariah",Medic!$B$21:$L$21,Medic!$B$12:$L$12),TRUE)+1),""))</f>
        <v/>
      </c>
      <c r="S33" s="92" t="str">
        <f t="shared" si="0"/>
        <v/>
      </c>
      <c r="T33" s="41" t="str">
        <f t="shared" si="2"/>
        <v/>
      </c>
      <c r="U33" s="92" t="str">
        <f t="shared" si="3"/>
        <v/>
      </c>
      <c r="V33" s="77" t="str">
        <f>IF(M33="Menurun",IF(AND(Q33&gt;'Spek Produk'!$I$23,Q33&lt;&gt;""),"Usia masuk lebih besar dari fitur produk",IF(AND(Q33&lt;'Spek Produk'!$G$23,Q33&lt;&gt;0,Q33&lt;&gt;""),"Usia masuk lebih rendah dari fitur produk",IF(N33&gt;'Spek Produk'!$F$20,"UP lebih besar dari fitur produk",IF(K33+L33/12&gt;'Spek Produk'!$I$22,"Masa asuransi lebih besar dari fitur produk",IF(AND(Q33+K33+L33/12&gt;'Spek Produk'!$H$24,Q33&lt;&gt;0,Q33&lt;&gt;""),"Maksimum masa asuransi untuk nasabah berusia "&amp;Q33&amp;" tahun adalah "&amp;MAX(0,'Spek Produk'!$H$24-Q33)&amp;" tahun",IF(AND(0&lt;K33+L33/12,K33+L33/12&lt;'Spek Produk'!$G$22),"Masa asuransi lebih kecil dari fitur produk"," ")))))),IF(AND(Q33&gt;'Spek Produk'!$I$35,Q33&lt;&gt;""),"Usia masuk lebih besar dari fitur produk",IF(AND(Q33&lt;'Spek Produk'!$G$35,Q33&lt;&gt;0,Q33&lt;&gt;""),"Usia masuk lebih rendah dari fitur produk",IF(N33&gt;'Spek Produk'!$F$32,"UP lebih besar dari fitur produk",IF(K33+L33/12&gt;'Spek Produk'!$I$34,"Masa asuransi lebih besar dari fitur produk",IF(AND(Q33+K33+L33/12&gt;'Spek Produk'!$H$36,Q33&lt;&gt;0,Q33&lt;&gt;""),"Maksimum masa asuransi untuk nasabah berusia "&amp;Q33&amp;" tahun adalah "&amp;MAX(0,'Spek Produk'!$H$36-Q33)&amp;" tahun",IF(AND(0&lt;K33+L33/12,K33+L33/12&lt;'Spek Produk'!$G$34),"Masa asuransi lebih Kecil dari fitur produk"," ")))))))</f>
        <v xml:space="preserve"> </v>
      </c>
      <c r="W33" s="77"/>
    </row>
    <row r="34" spans="1:23" x14ac:dyDescent="0.35">
      <c r="A34" s="43">
        <f t="shared" si="4"/>
        <v>29</v>
      </c>
      <c r="B34" s="34"/>
      <c r="C34" s="35"/>
      <c r="D34" s="34"/>
      <c r="E34" s="36"/>
      <c r="F34" s="33"/>
      <c r="G34" s="33"/>
      <c r="H34" s="37"/>
      <c r="I34" s="89"/>
      <c r="J34" s="89"/>
      <c r="K34" s="33"/>
      <c r="L34" s="33"/>
      <c r="M34" s="33"/>
      <c r="N34" s="38"/>
      <c r="P34" s="83">
        <v>0</v>
      </c>
      <c r="Q34" s="39">
        <f t="shared" si="1"/>
        <v>0</v>
      </c>
      <c r="R34" s="40" t="str">
        <f>IF(V34&lt;&gt;" ",V34,IFERROR(VLOOKUP(Q34,IF('Spek Produk'!$F$9="Syariah",Medic!$A$21:$L$27,Medic!$A$12:$L$18),MATCH(N34,IF('Spek Produk'!$F$9="Syariah",Medic!$B$21:$L$21,Medic!$B$12:$L$12),TRUE)+1),""))</f>
        <v/>
      </c>
      <c r="S34" s="92" t="str">
        <f t="shared" si="0"/>
        <v/>
      </c>
      <c r="T34" s="41" t="str">
        <f t="shared" si="2"/>
        <v/>
      </c>
      <c r="U34" s="92" t="str">
        <f t="shared" si="3"/>
        <v/>
      </c>
      <c r="V34" s="77" t="str">
        <f>IF(M34="Menurun",IF(AND(Q34&gt;'Spek Produk'!$I$23,Q34&lt;&gt;""),"Usia masuk lebih besar dari fitur produk",IF(AND(Q34&lt;'Spek Produk'!$G$23,Q34&lt;&gt;0,Q34&lt;&gt;""),"Usia masuk lebih rendah dari fitur produk",IF(N34&gt;'Spek Produk'!$F$20,"UP lebih besar dari fitur produk",IF(K34+L34/12&gt;'Spek Produk'!$I$22,"Masa asuransi lebih besar dari fitur produk",IF(AND(Q34+K34+L34/12&gt;'Spek Produk'!$H$24,Q34&lt;&gt;0,Q34&lt;&gt;""),"Maksimum masa asuransi untuk nasabah berusia "&amp;Q34&amp;" tahun adalah "&amp;MAX(0,'Spek Produk'!$H$24-Q34)&amp;" tahun",IF(AND(0&lt;K34+L34/12,K34+L34/12&lt;'Spek Produk'!$G$22),"Masa asuransi lebih kecil dari fitur produk"," ")))))),IF(AND(Q34&gt;'Spek Produk'!$I$35,Q34&lt;&gt;""),"Usia masuk lebih besar dari fitur produk",IF(AND(Q34&lt;'Spek Produk'!$G$35,Q34&lt;&gt;0,Q34&lt;&gt;""),"Usia masuk lebih rendah dari fitur produk",IF(N34&gt;'Spek Produk'!$F$32,"UP lebih besar dari fitur produk",IF(K34+L34/12&gt;'Spek Produk'!$I$34,"Masa asuransi lebih besar dari fitur produk",IF(AND(Q34+K34+L34/12&gt;'Spek Produk'!$H$36,Q34&lt;&gt;0,Q34&lt;&gt;""),"Maksimum masa asuransi untuk nasabah berusia "&amp;Q34&amp;" tahun adalah "&amp;MAX(0,'Spek Produk'!$H$36-Q34)&amp;" tahun",IF(AND(0&lt;K34+L34/12,K34+L34/12&lt;'Spek Produk'!$G$34),"Masa asuransi lebih Kecil dari fitur produk"," ")))))))</f>
        <v xml:space="preserve"> </v>
      </c>
      <c r="W34" s="77"/>
    </row>
    <row r="35" spans="1:23" x14ac:dyDescent="0.35">
      <c r="A35" s="43">
        <f t="shared" si="4"/>
        <v>30</v>
      </c>
      <c r="B35" s="34"/>
      <c r="C35" s="35"/>
      <c r="D35" s="34"/>
      <c r="E35" s="36"/>
      <c r="F35" s="33"/>
      <c r="G35" s="33"/>
      <c r="H35" s="37"/>
      <c r="I35" s="89"/>
      <c r="J35" s="89"/>
      <c r="K35" s="33"/>
      <c r="L35" s="33"/>
      <c r="M35" s="33"/>
      <c r="N35" s="38"/>
      <c r="P35" s="83">
        <v>0</v>
      </c>
      <c r="Q35" s="39">
        <f t="shared" si="1"/>
        <v>0</v>
      </c>
      <c r="R35" s="40" t="str">
        <f>IF(V35&lt;&gt;" ",V35,IFERROR(VLOOKUP(Q35,IF('Spek Produk'!$F$9="Syariah",Medic!$A$21:$L$27,Medic!$A$12:$L$18),MATCH(N35,IF('Spek Produk'!$F$9="Syariah",Medic!$B$21:$L$21,Medic!$B$12:$L$12),TRUE)+1),""))</f>
        <v/>
      </c>
      <c r="S35" s="92" t="str">
        <f t="shared" si="0"/>
        <v/>
      </c>
      <c r="T35" s="41" t="str">
        <f t="shared" si="2"/>
        <v/>
      </c>
      <c r="U35" s="92" t="str">
        <f t="shared" si="3"/>
        <v/>
      </c>
      <c r="V35" s="77" t="str">
        <f>IF(M35="Menurun",IF(AND(Q35&gt;'Spek Produk'!$I$23,Q35&lt;&gt;""),"Usia masuk lebih besar dari fitur produk",IF(AND(Q35&lt;'Spek Produk'!$G$23,Q35&lt;&gt;0,Q35&lt;&gt;""),"Usia masuk lebih rendah dari fitur produk",IF(N35&gt;'Spek Produk'!$F$20,"UP lebih besar dari fitur produk",IF(K35+L35/12&gt;'Spek Produk'!$I$22,"Masa asuransi lebih besar dari fitur produk",IF(AND(Q35+K35+L35/12&gt;'Spek Produk'!$H$24,Q35&lt;&gt;0,Q35&lt;&gt;""),"Maksimum masa asuransi untuk nasabah berusia "&amp;Q35&amp;" tahun adalah "&amp;MAX(0,'Spek Produk'!$H$24-Q35)&amp;" tahun",IF(AND(0&lt;K35+L35/12,K35+L35/12&lt;'Spek Produk'!$G$22),"Masa asuransi lebih kecil dari fitur produk"," ")))))),IF(AND(Q35&gt;'Spek Produk'!$I$35,Q35&lt;&gt;""),"Usia masuk lebih besar dari fitur produk",IF(AND(Q35&lt;'Spek Produk'!$G$35,Q35&lt;&gt;0,Q35&lt;&gt;""),"Usia masuk lebih rendah dari fitur produk",IF(N35&gt;'Spek Produk'!$F$32,"UP lebih besar dari fitur produk",IF(K35+L35/12&gt;'Spek Produk'!$I$34,"Masa asuransi lebih besar dari fitur produk",IF(AND(Q35+K35+L35/12&gt;'Spek Produk'!$H$36,Q35&lt;&gt;0,Q35&lt;&gt;""),"Maksimum masa asuransi untuk nasabah berusia "&amp;Q35&amp;" tahun adalah "&amp;MAX(0,'Spek Produk'!$H$36-Q35)&amp;" tahun",IF(AND(0&lt;K35+L35/12,K35+L35/12&lt;'Spek Produk'!$G$34),"Masa asuransi lebih Kecil dari fitur produk"," ")))))))</f>
        <v xml:space="preserve"> </v>
      </c>
      <c r="W35" s="77"/>
    </row>
    <row r="36" spans="1:23" x14ac:dyDescent="0.35">
      <c r="A36" s="43">
        <f t="shared" si="4"/>
        <v>31</v>
      </c>
      <c r="B36" s="34"/>
      <c r="C36" s="35"/>
      <c r="D36" s="34"/>
      <c r="E36" s="36"/>
      <c r="F36" s="33"/>
      <c r="G36" s="33"/>
      <c r="H36" s="37"/>
      <c r="I36" s="89"/>
      <c r="J36" s="89"/>
      <c r="K36" s="33"/>
      <c r="L36" s="33"/>
      <c r="M36" s="33"/>
      <c r="N36" s="38"/>
      <c r="P36" s="83">
        <v>0</v>
      </c>
      <c r="Q36" s="39">
        <f t="shared" si="1"/>
        <v>0</v>
      </c>
      <c r="R36" s="40" t="str">
        <f>IF(V36&lt;&gt;" ",V36,IFERROR(VLOOKUP(Q36,IF('Spek Produk'!$F$9="Syariah",Medic!$A$21:$L$27,Medic!$A$12:$L$18),MATCH(N36,IF('Spek Produk'!$F$9="Syariah",Medic!$B$21:$L$21,Medic!$B$12:$L$12),TRUE)+1),""))</f>
        <v/>
      </c>
      <c r="S36" s="92" t="str">
        <f t="shared" si="0"/>
        <v/>
      </c>
      <c r="T36" s="41" t="str">
        <f t="shared" si="2"/>
        <v/>
      </c>
      <c r="U36" s="92" t="str">
        <f t="shared" si="3"/>
        <v/>
      </c>
      <c r="V36" s="77" t="str">
        <f>IF(M36="Menurun",IF(AND(Q36&gt;'Spek Produk'!$I$23,Q36&lt;&gt;""),"Usia masuk lebih besar dari fitur produk",IF(AND(Q36&lt;'Spek Produk'!$G$23,Q36&lt;&gt;0,Q36&lt;&gt;""),"Usia masuk lebih rendah dari fitur produk",IF(N36&gt;'Spek Produk'!$F$20,"UP lebih besar dari fitur produk",IF(K36+L36/12&gt;'Spek Produk'!$I$22,"Masa asuransi lebih besar dari fitur produk",IF(AND(Q36+K36+L36/12&gt;'Spek Produk'!$H$24,Q36&lt;&gt;0,Q36&lt;&gt;""),"Maksimum masa asuransi untuk nasabah berusia "&amp;Q36&amp;" tahun adalah "&amp;MAX(0,'Spek Produk'!$H$24-Q36)&amp;" tahun",IF(AND(0&lt;K36+L36/12,K36+L36/12&lt;'Spek Produk'!$G$22),"Masa asuransi lebih kecil dari fitur produk"," ")))))),IF(AND(Q36&gt;'Spek Produk'!$I$35,Q36&lt;&gt;""),"Usia masuk lebih besar dari fitur produk",IF(AND(Q36&lt;'Spek Produk'!$G$35,Q36&lt;&gt;0,Q36&lt;&gt;""),"Usia masuk lebih rendah dari fitur produk",IF(N36&gt;'Spek Produk'!$F$32,"UP lebih besar dari fitur produk",IF(K36+L36/12&gt;'Spek Produk'!$I$34,"Masa asuransi lebih besar dari fitur produk",IF(AND(Q36+K36+L36/12&gt;'Spek Produk'!$H$36,Q36&lt;&gt;0,Q36&lt;&gt;""),"Maksimum masa asuransi untuk nasabah berusia "&amp;Q36&amp;" tahun adalah "&amp;MAX(0,'Spek Produk'!$H$36-Q36)&amp;" tahun",IF(AND(0&lt;K36+L36/12,K36+L36/12&lt;'Spek Produk'!$G$34),"Masa asuransi lebih Kecil dari fitur produk"," ")))))))</f>
        <v xml:space="preserve"> </v>
      </c>
      <c r="W36" s="77"/>
    </row>
    <row r="37" spans="1:23" x14ac:dyDescent="0.35">
      <c r="A37" s="43">
        <f t="shared" si="4"/>
        <v>32</v>
      </c>
      <c r="B37" s="34"/>
      <c r="C37" s="35"/>
      <c r="D37" s="34"/>
      <c r="E37" s="36"/>
      <c r="F37" s="33"/>
      <c r="G37" s="33"/>
      <c r="H37" s="37"/>
      <c r="I37" s="89"/>
      <c r="J37" s="89"/>
      <c r="K37" s="33"/>
      <c r="L37" s="33"/>
      <c r="M37" s="33"/>
      <c r="N37" s="38"/>
      <c r="P37" s="83">
        <v>0</v>
      </c>
      <c r="Q37" s="39">
        <f t="shared" si="1"/>
        <v>0</v>
      </c>
      <c r="R37" s="40" t="str">
        <f>IF(V37&lt;&gt;" ",V37,IFERROR(VLOOKUP(Q37,IF('Spek Produk'!$F$9="Syariah",Medic!$A$21:$L$27,Medic!$A$12:$L$18),MATCH(N37,IF('Spek Produk'!$F$9="Syariah",Medic!$B$21:$L$21,Medic!$B$12:$L$12),TRUE)+1),""))</f>
        <v/>
      </c>
      <c r="S37" s="92" t="str">
        <f t="shared" si="0"/>
        <v/>
      </c>
      <c r="T37" s="41" t="str">
        <f t="shared" si="2"/>
        <v/>
      </c>
      <c r="U37" s="92" t="str">
        <f t="shared" si="3"/>
        <v/>
      </c>
      <c r="V37" s="77" t="str">
        <f>IF(M37="Menurun",IF(AND(Q37&gt;'Spek Produk'!$I$23,Q37&lt;&gt;""),"Usia masuk lebih besar dari fitur produk",IF(AND(Q37&lt;'Spek Produk'!$G$23,Q37&lt;&gt;0,Q37&lt;&gt;""),"Usia masuk lebih rendah dari fitur produk",IF(N37&gt;'Spek Produk'!$F$20,"UP lebih besar dari fitur produk",IF(K37+L37/12&gt;'Spek Produk'!$I$22,"Masa asuransi lebih besar dari fitur produk",IF(AND(Q37+K37+L37/12&gt;'Spek Produk'!$H$24,Q37&lt;&gt;0,Q37&lt;&gt;""),"Maksimum masa asuransi untuk nasabah berusia "&amp;Q37&amp;" tahun adalah "&amp;MAX(0,'Spek Produk'!$H$24-Q37)&amp;" tahun",IF(AND(0&lt;K37+L37/12,K37+L37/12&lt;'Spek Produk'!$G$22),"Masa asuransi lebih kecil dari fitur produk"," ")))))),IF(AND(Q37&gt;'Spek Produk'!$I$35,Q37&lt;&gt;""),"Usia masuk lebih besar dari fitur produk",IF(AND(Q37&lt;'Spek Produk'!$G$35,Q37&lt;&gt;0,Q37&lt;&gt;""),"Usia masuk lebih rendah dari fitur produk",IF(N37&gt;'Spek Produk'!$F$32,"UP lebih besar dari fitur produk",IF(K37+L37/12&gt;'Spek Produk'!$I$34,"Masa asuransi lebih besar dari fitur produk",IF(AND(Q37+K37+L37/12&gt;'Spek Produk'!$H$36,Q37&lt;&gt;0,Q37&lt;&gt;""),"Maksimum masa asuransi untuk nasabah berusia "&amp;Q37&amp;" tahun adalah "&amp;MAX(0,'Spek Produk'!$H$36-Q37)&amp;" tahun",IF(AND(0&lt;K37+L37/12,K37+L37/12&lt;'Spek Produk'!$G$34),"Masa asuransi lebih Kecil dari fitur produk"," ")))))))</f>
        <v xml:space="preserve"> </v>
      </c>
      <c r="W37" s="77"/>
    </row>
    <row r="38" spans="1:23" x14ac:dyDescent="0.35">
      <c r="A38" s="43">
        <f t="shared" si="4"/>
        <v>33</v>
      </c>
      <c r="B38" s="34"/>
      <c r="C38" s="35"/>
      <c r="D38" s="34"/>
      <c r="E38" s="36"/>
      <c r="F38" s="33"/>
      <c r="G38" s="33"/>
      <c r="H38" s="37"/>
      <c r="I38" s="89"/>
      <c r="J38" s="89"/>
      <c r="K38" s="33"/>
      <c r="L38" s="33"/>
      <c r="M38" s="33"/>
      <c r="N38" s="38"/>
      <c r="P38" s="83">
        <v>0</v>
      </c>
      <c r="Q38" s="39">
        <f t="shared" si="1"/>
        <v>0</v>
      </c>
      <c r="R38" s="40" t="str">
        <f>IF(V38&lt;&gt;" ",V38,IFERROR(VLOOKUP(Q38,IF('Spek Produk'!$F$9="Syariah",Medic!$A$21:$L$27,Medic!$A$12:$L$18),MATCH(N38,IF('Spek Produk'!$F$9="Syariah",Medic!$B$21:$L$21,Medic!$B$12:$L$12),TRUE)+1),""))</f>
        <v/>
      </c>
      <c r="S38" s="92" t="str">
        <f t="shared" ref="S38:S55" si="5">IF(V38&lt;&gt;" ",V38,IF(N38="","",IFERROR(IF(Q38=0,0,ROUND(IF(K38*12+L38&lt;12,VLOOKUP(K38*12+L38,Faktor_Multiplier,2,FALSE)*VLOOKUP(Q38,IF(M38="Menurun",Premium_Table_Dec,Premium_Table_Flat),2,FALSE),VLOOKUP(Q38,IF(M38="Menurun",Premium_Table_Dec,Premium_Table_Flat),K38+1,FALSE)+IFERROR((VLOOKUP(Q38,IF(M38="Menurun",Premium_Table_Dec,Premium_Table_Flat),K38+2,FALSE)-VLOOKUP(Q38,IF(M38="Menurun",Premium_Table_Dec,Premium_Table_Flat),K38+1,FALSE)),0)*L38/12),2)*N38/1000),"Perhatikan Ketentuan Usia + Masa Asuransi")))</f>
        <v/>
      </c>
      <c r="T38" s="41" t="str">
        <f t="shared" si="2"/>
        <v/>
      </c>
      <c r="U38" s="92" t="str">
        <f t="shared" si="3"/>
        <v/>
      </c>
      <c r="V38" s="77" t="str">
        <f>IF(M38="Menurun",IF(AND(Q38&gt;'Spek Produk'!$I$23,Q38&lt;&gt;""),"Usia masuk lebih besar dari fitur produk",IF(AND(Q38&lt;'Spek Produk'!$G$23,Q38&lt;&gt;0,Q38&lt;&gt;""),"Usia masuk lebih rendah dari fitur produk",IF(N38&gt;'Spek Produk'!$F$20,"UP lebih besar dari fitur produk",IF(K38+L38/12&gt;'Spek Produk'!$I$22,"Masa asuransi lebih besar dari fitur produk",IF(AND(Q38+K38+L38/12&gt;'Spek Produk'!$H$24,Q38&lt;&gt;0,Q38&lt;&gt;""),"Maksimum masa asuransi untuk nasabah berusia "&amp;Q38&amp;" tahun adalah "&amp;MAX(0,'Spek Produk'!$H$24-Q38)&amp;" tahun",IF(AND(0&lt;K38+L38/12,K38+L38/12&lt;'Spek Produk'!$G$22),"Masa asuransi lebih kecil dari fitur produk"," ")))))),IF(AND(Q38&gt;'Spek Produk'!$I$35,Q38&lt;&gt;""),"Usia masuk lebih besar dari fitur produk",IF(AND(Q38&lt;'Spek Produk'!$G$35,Q38&lt;&gt;0,Q38&lt;&gt;""),"Usia masuk lebih rendah dari fitur produk",IF(N38&gt;'Spek Produk'!$F$32,"UP lebih besar dari fitur produk",IF(K38+L38/12&gt;'Spek Produk'!$I$34,"Masa asuransi lebih besar dari fitur produk",IF(AND(Q38+K38+L38/12&gt;'Spek Produk'!$H$36,Q38&lt;&gt;0,Q38&lt;&gt;""),"Maksimum masa asuransi untuk nasabah berusia "&amp;Q38&amp;" tahun adalah "&amp;MAX(0,'Spek Produk'!$H$36-Q38)&amp;" tahun",IF(AND(0&lt;K38+L38/12,K38+L38/12&lt;'Spek Produk'!$G$34),"Masa asuransi lebih Kecil dari fitur produk"," ")))))))</f>
        <v xml:space="preserve"> </v>
      </c>
      <c r="W38" s="77"/>
    </row>
    <row r="39" spans="1:23" x14ac:dyDescent="0.35">
      <c r="A39" s="43">
        <f t="shared" si="4"/>
        <v>34</v>
      </c>
      <c r="B39" s="34"/>
      <c r="C39" s="35"/>
      <c r="D39" s="34"/>
      <c r="E39" s="36"/>
      <c r="F39" s="33"/>
      <c r="G39" s="33"/>
      <c r="H39" s="37"/>
      <c r="I39" s="89"/>
      <c r="J39" s="89"/>
      <c r="K39" s="33"/>
      <c r="L39" s="33"/>
      <c r="M39" s="33"/>
      <c r="N39" s="38"/>
      <c r="P39" s="83">
        <v>0</v>
      </c>
      <c r="Q39" s="39">
        <f t="shared" si="1"/>
        <v>0</v>
      </c>
      <c r="R39" s="40" t="str">
        <f>IF(V39&lt;&gt;" ",V39,IFERROR(VLOOKUP(Q39,IF('Spek Produk'!$F$9="Syariah",Medic!$A$21:$L$27,Medic!$A$12:$L$18),MATCH(N39,IF('Spek Produk'!$F$9="Syariah",Medic!$B$21:$L$21,Medic!$B$12:$L$12),TRUE)+1),""))</f>
        <v/>
      </c>
      <c r="S39" s="92" t="str">
        <f t="shared" si="5"/>
        <v/>
      </c>
      <c r="T39" s="41" t="str">
        <f t="shared" si="2"/>
        <v/>
      </c>
      <c r="U39" s="92" t="str">
        <f t="shared" si="3"/>
        <v/>
      </c>
      <c r="V39" s="77" t="str">
        <f>IF(M39="Menurun",IF(AND(Q39&gt;'Spek Produk'!$I$23,Q39&lt;&gt;""),"Usia masuk lebih besar dari fitur produk",IF(AND(Q39&lt;'Spek Produk'!$G$23,Q39&lt;&gt;0,Q39&lt;&gt;""),"Usia masuk lebih rendah dari fitur produk",IF(N39&gt;'Spek Produk'!$F$20,"UP lebih besar dari fitur produk",IF(K39+L39/12&gt;'Spek Produk'!$I$22,"Masa asuransi lebih besar dari fitur produk",IF(AND(Q39+K39+L39/12&gt;'Spek Produk'!$H$24,Q39&lt;&gt;0,Q39&lt;&gt;""),"Maksimum masa asuransi untuk nasabah berusia "&amp;Q39&amp;" tahun adalah "&amp;MAX(0,'Spek Produk'!$H$24-Q39)&amp;" tahun",IF(AND(0&lt;K39+L39/12,K39+L39/12&lt;'Spek Produk'!$G$22),"Masa asuransi lebih kecil dari fitur produk"," ")))))),IF(AND(Q39&gt;'Spek Produk'!$I$35,Q39&lt;&gt;""),"Usia masuk lebih besar dari fitur produk",IF(AND(Q39&lt;'Spek Produk'!$G$35,Q39&lt;&gt;0,Q39&lt;&gt;""),"Usia masuk lebih rendah dari fitur produk",IF(N39&gt;'Spek Produk'!$F$32,"UP lebih besar dari fitur produk",IF(K39+L39/12&gt;'Spek Produk'!$I$34,"Masa asuransi lebih besar dari fitur produk",IF(AND(Q39+K39+L39/12&gt;'Spek Produk'!$H$36,Q39&lt;&gt;0,Q39&lt;&gt;""),"Maksimum masa asuransi untuk nasabah berusia "&amp;Q39&amp;" tahun adalah "&amp;MAX(0,'Spek Produk'!$H$36-Q39)&amp;" tahun",IF(AND(0&lt;K39+L39/12,K39+L39/12&lt;'Spek Produk'!$G$34),"Masa asuransi lebih Kecil dari fitur produk"," ")))))))</f>
        <v xml:space="preserve"> </v>
      </c>
      <c r="W39" s="77"/>
    </row>
    <row r="40" spans="1:23" x14ac:dyDescent="0.35">
      <c r="A40" s="43">
        <f t="shared" si="4"/>
        <v>35</v>
      </c>
      <c r="B40" s="34"/>
      <c r="C40" s="35"/>
      <c r="D40" s="34"/>
      <c r="E40" s="36"/>
      <c r="F40" s="33"/>
      <c r="G40" s="33"/>
      <c r="H40" s="37"/>
      <c r="I40" s="89"/>
      <c r="J40" s="89"/>
      <c r="K40" s="33"/>
      <c r="L40" s="33"/>
      <c r="M40" s="33"/>
      <c r="N40" s="38"/>
      <c r="P40" s="83">
        <v>0</v>
      </c>
      <c r="Q40" s="39">
        <f t="shared" si="1"/>
        <v>0</v>
      </c>
      <c r="R40" s="40" t="str">
        <f>IF(V40&lt;&gt;" ",V40,IFERROR(VLOOKUP(Q40,IF('Spek Produk'!$F$9="Syariah",Medic!$A$21:$L$27,Medic!$A$12:$L$18),MATCH(N40,IF('Spek Produk'!$F$9="Syariah",Medic!$B$21:$L$21,Medic!$B$12:$L$12),TRUE)+1),""))</f>
        <v/>
      </c>
      <c r="S40" s="92" t="str">
        <f t="shared" si="5"/>
        <v/>
      </c>
      <c r="T40" s="41" t="str">
        <f t="shared" si="2"/>
        <v/>
      </c>
      <c r="U40" s="92" t="str">
        <f t="shared" si="3"/>
        <v/>
      </c>
      <c r="V40" s="77" t="str">
        <f>IF(M40="Menurun",IF(AND(Q40&gt;'Spek Produk'!$I$23,Q40&lt;&gt;""),"Usia masuk lebih besar dari fitur produk",IF(AND(Q40&lt;'Spek Produk'!$G$23,Q40&lt;&gt;0,Q40&lt;&gt;""),"Usia masuk lebih rendah dari fitur produk",IF(N40&gt;'Spek Produk'!$F$20,"UP lebih besar dari fitur produk",IF(K40+L40/12&gt;'Spek Produk'!$I$22,"Masa asuransi lebih besar dari fitur produk",IF(AND(Q40+K40+L40/12&gt;'Spek Produk'!$H$24,Q40&lt;&gt;0,Q40&lt;&gt;""),"Maksimum masa asuransi untuk nasabah berusia "&amp;Q40&amp;" tahun adalah "&amp;MAX(0,'Spek Produk'!$H$24-Q40)&amp;" tahun",IF(AND(0&lt;K40+L40/12,K40+L40/12&lt;'Spek Produk'!$G$22),"Masa asuransi lebih kecil dari fitur produk"," ")))))),IF(AND(Q40&gt;'Spek Produk'!$I$35,Q40&lt;&gt;""),"Usia masuk lebih besar dari fitur produk",IF(AND(Q40&lt;'Spek Produk'!$G$35,Q40&lt;&gt;0,Q40&lt;&gt;""),"Usia masuk lebih rendah dari fitur produk",IF(N40&gt;'Spek Produk'!$F$32,"UP lebih besar dari fitur produk",IF(K40+L40/12&gt;'Spek Produk'!$I$34,"Masa asuransi lebih besar dari fitur produk",IF(AND(Q40+K40+L40/12&gt;'Spek Produk'!$H$36,Q40&lt;&gt;0,Q40&lt;&gt;""),"Maksimum masa asuransi untuk nasabah berusia "&amp;Q40&amp;" tahun adalah "&amp;MAX(0,'Spek Produk'!$H$36-Q40)&amp;" tahun",IF(AND(0&lt;K40+L40/12,K40+L40/12&lt;'Spek Produk'!$G$34),"Masa asuransi lebih Kecil dari fitur produk"," ")))))))</f>
        <v xml:space="preserve"> </v>
      </c>
      <c r="W40" s="77"/>
    </row>
    <row r="41" spans="1:23" x14ac:dyDescent="0.35">
      <c r="A41" s="43">
        <f t="shared" si="4"/>
        <v>36</v>
      </c>
      <c r="B41" s="34"/>
      <c r="C41" s="35"/>
      <c r="D41" s="34"/>
      <c r="E41" s="36"/>
      <c r="F41" s="33"/>
      <c r="G41" s="33"/>
      <c r="H41" s="37"/>
      <c r="I41" s="89"/>
      <c r="J41" s="89"/>
      <c r="K41" s="33"/>
      <c r="L41" s="33"/>
      <c r="M41" s="33"/>
      <c r="N41" s="38"/>
      <c r="P41" s="83">
        <v>0</v>
      </c>
      <c r="Q41" s="39">
        <f t="shared" si="1"/>
        <v>0</v>
      </c>
      <c r="R41" s="40" t="str">
        <f>IF(V41&lt;&gt;" ",V41,IFERROR(VLOOKUP(Q41,IF('Spek Produk'!$F$9="Syariah",Medic!$A$21:$L$27,Medic!$A$12:$L$18),MATCH(N41,IF('Spek Produk'!$F$9="Syariah",Medic!$B$21:$L$21,Medic!$B$12:$L$12),TRUE)+1),""))</f>
        <v/>
      </c>
      <c r="S41" s="92" t="str">
        <f t="shared" si="5"/>
        <v/>
      </c>
      <c r="T41" s="41" t="str">
        <f t="shared" si="2"/>
        <v/>
      </c>
      <c r="U41" s="92" t="str">
        <f t="shared" si="3"/>
        <v/>
      </c>
      <c r="V41" s="77" t="str">
        <f>IF(M41="Menurun",IF(AND(Q41&gt;'Spek Produk'!$I$23,Q41&lt;&gt;""),"Usia masuk lebih besar dari fitur produk",IF(AND(Q41&lt;'Spek Produk'!$G$23,Q41&lt;&gt;0,Q41&lt;&gt;""),"Usia masuk lebih rendah dari fitur produk",IF(N41&gt;'Spek Produk'!$F$20,"UP lebih besar dari fitur produk",IF(K41+L41/12&gt;'Spek Produk'!$I$22,"Masa asuransi lebih besar dari fitur produk",IF(AND(Q41+K41+L41/12&gt;'Spek Produk'!$H$24,Q41&lt;&gt;0,Q41&lt;&gt;""),"Maksimum masa asuransi untuk nasabah berusia "&amp;Q41&amp;" tahun adalah "&amp;MAX(0,'Spek Produk'!$H$24-Q41)&amp;" tahun",IF(AND(0&lt;K41+L41/12,K41+L41/12&lt;'Spek Produk'!$G$22),"Masa asuransi lebih kecil dari fitur produk"," ")))))),IF(AND(Q41&gt;'Spek Produk'!$I$35,Q41&lt;&gt;""),"Usia masuk lebih besar dari fitur produk",IF(AND(Q41&lt;'Spek Produk'!$G$35,Q41&lt;&gt;0,Q41&lt;&gt;""),"Usia masuk lebih rendah dari fitur produk",IF(N41&gt;'Spek Produk'!$F$32,"UP lebih besar dari fitur produk",IF(K41+L41/12&gt;'Spek Produk'!$I$34,"Masa asuransi lebih besar dari fitur produk",IF(AND(Q41+K41+L41/12&gt;'Spek Produk'!$H$36,Q41&lt;&gt;0,Q41&lt;&gt;""),"Maksimum masa asuransi untuk nasabah berusia "&amp;Q41&amp;" tahun adalah "&amp;MAX(0,'Spek Produk'!$H$36-Q41)&amp;" tahun",IF(AND(0&lt;K41+L41/12,K41+L41/12&lt;'Spek Produk'!$G$34),"Masa asuransi lebih Kecil dari fitur produk"," ")))))))</f>
        <v xml:space="preserve"> </v>
      </c>
      <c r="W41" s="77"/>
    </row>
    <row r="42" spans="1:23" x14ac:dyDescent="0.35">
      <c r="A42" s="43">
        <f t="shared" si="4"/>
        <v>37</v>
      </c>
      <c r="B42" s="34"/>
      <c r="C42" s="35"/>
      <c r="D42" s="34"/>
      <c r="E42" s="36"/>
      <c r="F42" s="33"/>
      <c r="G42" s="33"/>
      <c r="H42" s="37"/>
      <c r="I42" s="89"/>
      <c r="J42" s="89"/>
      <c r="K42" s="33"/>
      <c r="L42" s="33"/>
      <c r="M42" s="33"/>
      <c r="N42" s="38"/>
      <c r="P42" s="83">
        <v>0</v>
      </c>
      <c r="Q42" s="39">
        <f t="shared" si="1"/>
        <v>0</v>
      </c>
      <c r="R42" s="40" t="str">
        <f>IF(V42&lt;&gt;" ",V42,IFERROR(VLOOKUP(Q42,IF('Spek Produk'!$F$9="Syariah",Medic!$A$21:$L$27,Medic!$A$12:$L$18),MATCH(N42,IF('Spek Produk'!$F$9="Syariah",Medic!$B$21:$L$21,Medic!$B$12:$L$12),TRUE)+1),""))</f>
        <v/>
      </c>
      <c r="S42" s="92" t="str">
        <f t="shared" si="5"/>
        <v/>
      </c>
      <c r="T42" s="41" t="str">
        <f t="shared" si="2"/>
        <v/>
      </c>
      <c r="U42" s="92" t="str">
        <f t="shared" si="3"/>
        <v/>
      </c>
      <c r="V42" s="77" t="str">
        <f>IF(M42="Menurun",IF(AND(Q42&gt;'Spek Produk'!$I$23,Q42&lt;&gt;""),"Usia masuk lebih besar dari fitur produk",IF(AND(Q42&lt;'Spek Produk'!$G$23,Q42&lt;&gt;0,Q42&lt;&gt;""),"Usia masuk lebih rendah dari fitur produk",IF(N42&gt;'Spek Produk'!$F$20,"UP lebih besar dari fitur produk",IF(K42+L42/12&gt;'Spek Produk'!$I$22,"Masa asuransi lebih besar dari fitur produk",IF(AND(Q42+K42+L42/12&gt;'Spek Produk'!$H$24,Q42&lt;&gt;0,Q42&lt;&gt;""),"Maksimum masa asuransi untuk nasabah berusia "&amp;Q42&amp;" tahun adalah "&amp;MAX(0,'Spek Produk'!$H$24-Q42)&amp;" tahun",IF(AND(0&lt;K42+L42/12,K42+L42/12&lt;'Spek Produk'!$G$22),"Masa asuransi lebih kecil dari fitur produk"," ")))))),IF(AND(Q42&gt;'Spek Produk'!$I$35,Q42&lt;&gt;""),"Usia masuk lebih besar dari fitur produk",IF(AND(Q42&lt;'Spek Produk'!$G$35,Q42&lt;&gt;0,Q42&lt;&gt;""),"Usia masuk lebih rendah dari fitur produk",IF(N42&gt;'Spek Produk'!$F$32,"UP lebih besar dari fitur produk",IF(K42+L42/12&gt;'Spek Produk'!$I$34,"Masa asuransi lebih besar dari fitur produk",IF(AND(Q42+K42+L42/12&gt;'Spek Produk'!$H$36,Q42&lt;&gt;0,Q42&lt;&gt;""),"Maksimum masa asuransi untuk nasabah berusia "&amp;Q42&amp;" tahun adalah "&amp;MAX(0,'Spek Produk'!$H$36-Q42)&amp;" tahun",IF(AND(0&lt;K42+L42/12,K42+L42/12&lt;'Spek Produk'!$G$34),"Masa asuransi lebih Kecil dari fitur produk"," ")))))))</f>
        <v xml:space="preserve"> </v>
      </c>
      <c r="W42" s="77"/>
    </row>
    <row r="43" spans="1:23" x14ac:dyDescent="0.35">
      <c r="A43" s="43">
        <f t="shared" si="4"/>
        <v>38</v>
      </c>
      <c r="B43" s="34"/>
      <c r="C43" s="35"/>
      <c r="D43" s="34"/>
      <c r="E43" s="36"/>
      <c r="F43" s="33"/>
      <c r="G43" s="33"/>
      <c r="H43" s="37"/>
      <c r="I43" s="89"/>
      <c r="J43" s="89"/>
      <c r="K43" s="33"/>
      <c r="L43" s="33"/>
      <c r="M43" s="33"/>
      <c r="N43" s="38"/>
      <c r="P43" s="83">
        <v>0</v>
      </c>
      <c r="Q43" s="39">
        <f t="shared" si="1"/>
        <v>0</v>
      </c>
      <c r="R43" s="40" t="str">
        <f>IF(V43&lt;&gt;" ",V43,IFERROR(VLOOKUP(Q43,IF('Spek Produk'!$F$9="Syariah",Medic!$A$21:$L$27,Medic!$A$12:$L$18),MATCH(N43,IF('Spek Produk'!$F$9="Syariah",Medic!$B$21:$L$21,Medic!$B$12:$L$12),TRUE)+1),""))</f>
        <v/>
      </c>
      <c r="S43" s="92" t="str">
        <f t="shared" si="5"/>
        <v/>
      </c>
      <c r="T43" s="41" t="str">
        <f t="shared" si="2"/>
        <v/>
      </c>
      <c r="U43" s="92" t="str">
        <f t="shared" si="3"/>
        <v/>
      </c>
      <c r="V43" s="77" t="str">
        <f>IF(M43="Menurun",IF(AND(Q43&gt;'Spek Produk'!$I$23,Q43&lt;&gt;""),"Usia masuk lebih besar dari fitur produk",IF(AND(Q43&lt;'Spek Produk'!$G$23,Q43&lt;&gt;0,Q43&lt;&gt;""),"Usia masuk lebih rendah dari fitur produk",IF(N43&gt;'Spek Produk'!$F$20,"UP lebih besar dari fitur produk",IF(K43+L43/12&gt;'Spek Produk'!$I$22,"Masa asuransi lebih besar dari fitur produk",IF(AND(Q43+K43+L43/12&gt;'Spek Produk'!$H$24,Q43&lt;&gt;0,Q43&lt;&gt;""),"Maksimum masa asuransi untuk nasabah berusia "&amp;Q43&amp;" tahun adalah "&amp;MAX(0,'Spek Produk'!$H$24-Q43)&amp;" tahun",IF(AND(0&lt;K43+L43/12,K43+L43/12&lt;'Spek Produk'!$G$22),"Masa asuransi lebih kecil dari fitur produk"," ")))))),IF(AND(Q43&gt;'Spek Produk'!$I$35,Q43&lt;&gt;""),"Usia masuk lebih besar dari fitur produk",IF(AND(Q43&lt;'Spek Produk'!$G$35,Q43&lt;&gt;0,Q43&lt;&gt;""),"Usia masuk lebih rendah dari fitur produk",IF(N43&gt;'Spek Produk'!$F$32,"UP lebih besar dari fitur produk",IF(K43+L43/12&gt;'Spek Produk'!$I$34,"Masa asuransi lebih besar dari fitur produk",IF(AND(Q43+K43+L43/12&gt;'Spek Produk'!$H$36,Q43&lt;&gt;0,Q43&lt;&gt;""),"Maksimum masa asuransi untuk nasabah berusia "&amp;Q43&amp;" tahun adalah "&amp;MAX(0,'Spek Produk'!$H$36-Q43)&amp;" tahun",IF(AND(0&lt;K43+L43/12,K43+L43/12&lt;'Spek Produk'!$G$34),"Masa asuransi lebih Kecil dari fitur produk"," ")))))))</f>
        <v xml:space="preserve"> </v>
      </c>
      <c r="W43" s="77"/>
    </row>
    <row r="44" spans="1:23" x14ac:dyDescent="0.35">
      <c r="A44" s="43">
        <f t="shared" si="4"/>
        <v>39</v>
      </c>
      <c r="B44" s="34"/>
      <c r="C44" s="35"/>
      <c r="D44" s="34"/>
      <c r="E44" s="36"/>
      <c r="F44" s="33"/>
      <c r="G44" s="33"/>
      <c r="H44" s="37"/>
      <c r="I44" s="89"/>
      <c r="J44" s="89"/>
      <c r="K44" s="33"/>
      <c r="L44" s="33"/>
      <c r="M44" s="33"/>
      <c r="N44" s="38"/>
      <c r="P44" s="83">
        <v>0</v>
      </c>
      <c r="Q44" s="39">
        <f t="shared" si="1"/>
        <v>0</v>
      </c>
      <c r="R44" s="40" t="str">
        <f>IF(V44&lt;&gt;" ",V44,IFERROR(VLOOKUP(Q44,IF('Spek Produk'!$F$9="Syariah",Medic!$A$21:$L$27,Medic!$A$12:$L$18),MATCH(N44,IF('Spek Produk'!$F$9="Syariah",Medic!$B$21:$L$21,Medic!$B$12:$L$12),TRUE)+1),""))</f>
        <v/>
      </c>
      <c r="S44" s="92" t="str">
        <f t="shared" si="5"/>
        <v/>
      </c>
      <c r="T44" s="41" t="str">
        <f t="shared" si="2"/>
        <v/>
      </c>
      <c r="U44" s="92" t="str">
        <f t="shared" si="3"/>
        <v/>
      </c>
      <c r="V44" s="77" t="str">
        <f>IF(M44="Menurun",IF(AND(Q44&gt;'Spek Produk'!$I$23,Q44&lt;&gt;""),"Usia masuk lebih besar dari fitur produk",IF(AND(Q44&lt;'Spek Produk'!$G$23,Q44&lt;&gt;0,Q44&lt;&gt;""),"Usia masuk lebih rendah dari fitur produk",IF(N44&gt;'Spek Produk'!$F$20,"UP lebih besar dari fitur produk",IF(K44+L44/12&gt;'Spek Produk'!$I$22,"Masa asuransi lebih besar dari fitur produk",IF(AND(Q44+K44+L44/12&gt;'Spek Produk'!$H$24,Q44&lt;&gt;0,Q44&lt;&gt;""),"Maksimum masa asuransi untuk nasabah berusia "&amp;Q44&amp;" tahun adalah "&amp;MAX(0,'Spek Produk'!$H$24-Q44)&amp;" tahun",IF(AND(0&lt;K44+L44/12,K44+L44/12&lt;'Spek Produk'!$G$22),"Masa asuransi lebih kecil dari fitur produk"," ")))))),IF(AND(Q44&gt;'Spek Produk'!$I$35,Q44&lt;&gt;""),"Usia masuk lebih besar dari fitur produk",IF(AND(Q44&lt;'Spek Produk'!$G$35,Q44&lt;&gt;0,Q44&lt;&gt;""),"Usia masuk lebih rendah dari fitur produk",IF(N44&gt;'Spek Produk'!$F$32,"UP lebih besar dari fitur produk",IF(K44+L44/12&gt;'Spek Produk'!$I$34,"Masa asuransi lebih besar dari fitur produk",IF(AND(Q44+K44+L44/12&gt;'Spek Produk'!$H$36,Q44&lt;&gt;0,Q44&lt;&gt;""),"Maksimum masa asuransi untuk nasabah berusia "&amp;Q44&amp;" tahun adalah "&amp;MAX(0,'Spek Produk'!$H$36-Q44)&amp;" tahun",IF(AND(0&lt;K44+L44/12,K44+L44/12&lt;'Spek Produk'!$G$34),"Masa asuransi lebih Kecil dari fitur produk"," ")))))))</f>
        <v xml:space="preserve"> </v>
      </c>
      <c r="W44" s="77"/>
    </row>
    <row r="45" spans="1:23" x14ac:dyDescent="0.35">
      <c r="A45" s="43">
        <f t="shared" si="4"/>
        <v>40</v>
      </c>
      <c r="B45" s="34"/>
      <c r="C45" s="35"/>
      <c r="D45" s="34"/>
      <c r="E45" s="36"/>
      <c r="F45" s="33"/>
      <c r="G45" s="33"/>
      <c r="H45" s="37"/>
      <c r="I45" s="89"/>
      <c r="J45" s="89"/>
      <c r="K45" s="33"/>
      <c r="L45" s="33"/>
      <c r="M45" s="33"/>
      <c r="N45" s="38"/>
      <c r="P45" s="83">
        <v>0</v>
      </c>
      <c r="Q45" s="39">
        <f t="shared" si="1"/>
        <v>0</v>
      </c>
      <c r="R45" s="40" t="str">
        <f>IF(V45&lt;&gt;" ",V45,IFERROR(VLOOKUP(Q45,IF('Spek Produk'!$F$9="Syariah",Medic!$A$21:$L$27,Medic!$A$12:$L$18),MATCH(N45,IF('Spek Produk'!$F$9="Syariah",Medic!$B$21:$L$21,Medic!$B$12:$L$12),TRUE)+1),""))</f>
        <v/>
      </c>
      <c r="S45" s="92" t="str">
        <f t="shared" si="5"/>
        <v/>
      </c>
      <c r="T45" s="41" t="str">
        <f t="shared" si="2"/>
        <v/>
      </c>
      <c r="U45" s="92" t="str">
        <f t="shared" si="3"/>
        <v/>
      </c>
      <c r="V45" s="77" t="str">
        <f>IF(M45="Menurun",IF(AND(Q45&gt;'Spek Produk'!$I$23,Q45&lt;&gt;""),"Usia masuk lebih besar dari fitur produk",IF(AND(Q45&lt;'Spek Produk'!$G$23,Q45&lt;&gt;0,Q45&lt;&gt;""),"Usia masuk lebih rendah dari fitur produk",IF(N45&gt;'Spek Produk'!$F$20,"UP lebih besar dari fitur produk",IF(K45+L45/12&gt;'Spek Produk'!$I$22,"Masa asuransi lebih besar dari fitur produk",IF(AND(Q45+K45+L45/12&gt;'Spek Produk'!$H$24,Q45&lt;&gt;0,Q45&lt;&gt;""),"Maksimum masa asuransi untuk nasabah berusia "&amp;Q45&amp;" tahun adalah "&amp;MAX(0,'Spek Produk'!$H$24-Q45)&amp;" tahun",IF(AND(0&lt;K45+L45/12,K45+L45/12&lt;'Spek Produk'!$G$22),"Masa asuransi lebih kecil dari fitur produk"," ")))))),IF(AND(Q45&gt;'Spek Produk'!$I$35,Q45&lt;&gt;""),"Usia masuk lebih besar dari fitur produk",IF(AND(Q45&lt;'Spek Produk'!$G$35,Q45&lt;&gt;0,Q45&lt;&gt;""),"Usia masuk lebih rendah dari fitur produk",IF(N45&gt;'Spek Produk'!$F$32,"UP lebih besar dari fitur produk",IF(K45+L45/12&gt;'Spek Produk'!$I$34,"Masa asuransi lebih besar dari fitur produk",IF(AND(Q45+K45+L45/12&gt;'Spek Produk'!$H$36,Q45&lt;&gt;0,Q45&lt;&gt;""),"Maksimum masa asuransi untuk nasabah berusia "&amp;Q45&amp;" tahun adalah "&amp;MAX(0,'Spek Produk'!$H$36-Q45)&amp;" tahun",IF(AND(0&lt;K45+L45/12,K45+L45/12&lt;'Spek Produk'!$G$34),"Masa asuransi lebih Kecil dari fitur produk"," ")))))))</f>
        <v xml:space="preserve"> </v>
      </c>
      <c r="W45" s="77"/>
    </row>
    <row r="46" spans="1:23" x14ac:dyDescent="0.35">
      <c r="A46" s="43">
        <f t="shared" si="4"/>
        <v>41</v>
      </c>
      <c r="B46" s="34"/>
      <c r="C46" s="35"/>
      <c r="D46" s="34"/>
      <c r="E46" s="36"/>
      <c r="F46" s="33"/>
      <c r="G46" s="33"/>
      <c r="H46" s="37"/>
      <c r="I46" s="89"/>
      <c r="J46" s="89"/>
      <c r="K46" s="33"/>
      <c r="L46" s="33"/>
      <c r="M46" s="33"/>
      <c r="N46" s="38"/>
      <c r="P46" s="83">
        <v>0</v>
      </c>
      <c r="Q46" s="39">
        <f t="shared" si="1"/>
        <v>0</v>
      </c>
      <c r="R46" s="40" t="str">
        <f>IF(V46&lt;&gt;" ",V46,IFERROR(VLOOKUP(Q46,IF('Spek Produk'!$F$9="Syariah",Medic!$A$21:$L$27,Medic!$A$12:$L$18),MATCH(N46,IF('Spek Produk'!$F$9="Syariah",Medic!$B$21:$L$21,Medic!$B$12:$L$12),TRUE)+1),""))</f>
        <v/>
      </c>
      <c r="S46" s="92" t="str">
        <f t="shared" si="5"/>
        <v/>
      </c>
      <c r="T46" s="41" t="str">
        <f t="shared" si="2"/>
        <v/>
      </c>
      <c r="U46" s="92" t="str">
        <f t="shared" si="3"/>
        <v/>
      </c>
      <c r="V46" s="77" t="str">
        <f>IF(M46="Menurun",IF(AND(Q46&gt;'Spek Produk'!$I$23,Q46&lt;&gt;""),"Usia masuk lebih besar dari fitur produk",IF(AND(Q46&lt;'Spek Produk'!$G$23,Q46&lt;&gt;0,Q46&lt;&gt;""),"Usia masuk lebih rendah dari fitur produk",IF(N46&gt;'Spek Produk'!$F$20,"UP lebih besar dari fitur produk",IF(K46+L46/12&gt;'Spek Produk'!$I$22,"Masa asuransi lebih besar dari fitur produk",IF(AND(Q46+K46+L46/12&gt;'Spek Produk'!$H$24,Q46&lt;&gt;0,Q46&lt;&gt;""),"Maksimum masa asuransi untuk nasabah berusia "&amp;Q46&amp;" tahun adalah "&amp;MAX(0,'Spek Produk'!$H$24-Q46)&amp;" tahun",IF(AND(0&lt;K46+L46/12,K46+L46/12&lt;'Spek Produk'!$G$22),"Masa asuransi lebih kecil dari fitur produk"," ")))))),IF(AND(Q46&gt;'Spek Produk'!$I$35,Q46&lt;&gt;""),"Usia masuk lebih besar dari fitur produk",IF(AND(Q46&lt;'Spek Produk'!$G$35,Q46&lt;&gt;0,Q46&lt;&gt;""),"Usia masuk lebih rendah dari fitur produk",IF(N46&gt;'Spek Produk'!$F$32,"UP lebih besar dari fitur produk",IF(K46+L46/12&gt;'Spek Produk'!$I$34,"Masa asuransi lebih besar dari fitur produk",IF(AND(Q46+K46+L46/12&gt;'Spek Produk'!$H$36,Q46&lt;&gt;0,Q46&lt;&gt;""),"Maksimum masa asuransi untuk nasabah berusia "&amp;Q46&amp;" tahun adalah "&amp;MAX(0,'Spek Produk'!$H$36-Q46)&amp;" tahun",IF(AND(0&lt;K46+L46/12,K46+L46/12&lt;'Spek Produk'!$G$34),"Masa asuransi lebih Kecil dari fitur produk"," ")))))))</f>
        <v xml:space="preserve"> </v>
      </c>
      <c r="W46" s="77"/>
    </row>
    <row r="47" spans="1:23" x14ac:dyDescent="0.35">
      <c r="A47" s="43">
        <f t="shared" si="4"/>
        <v>42</v>
      </c>
      <c r="B47" s="34"/>
      <c r="C47" s="35"/>
      <c r="D47" s="34"/>
      <c r="E47" s="36"/>
      <c r="F47" s="33"/>
      <c r="G47" s="33"/>
      <c r="H47" s="37"/>
      <c r="I47" s="89"/>
      <c r="J47" s="89"/>
      <c r="K47" s="33"/>
      <c r="L47" s="33"/>
      <c r="M47" s="33"/>
      <c r="N47" s="38"/>
      <c r="P47" s="83">
        <v>0</v>
      </c>
      <c r="Q47" s="39">
        <f t="shared" si="1"/>
        <v>0</v>
      </c>
      <c r="R47" s="40" t="str">
        <f>IF(V47&lt;&gt;" ",V47,IFERROR(VLOOKUP(Q47,IF('Spek Produk'!$F$9="Syariah",Medic!$A$21:$L$27,Medic!$A$12:$L$18),MATCH(N47,IF('Spek Produk'!$F$9="Syariah",Medic!$B$21:$L$21,Medic!$B$12:$L$12),TRUE)+1),""))</f>
        <v/>
      </c>
      <c r="S47" s="92" t="str">
        <f t="shared" si="5"/>
        <v/>
      </c>
      <c r="T47" s="41" t="str">
        <f t="shared" si="2"/>
        <v/>
      </c>
      <c r="U47" s="92" t="str">
        <f t="shared" si="3"/>
        <v/>
      </c>
      <c r="V47" s="77" t="str">
        <f>IF(M47="Menurun",IF(AND(Q47&gt;'Spek Produk'!$I$23,Q47&lt;&gt;""),"Usia masuk lebih besar dari fitur produk",IF(AND(Q47&lt;'Spek Produk'!$G$23,Q47&lt;&gt;0,Q47&lt;&gt;""),"Usia masuk lebih rendah dari fitur produk",IF(N47&gt;'Spek Produk'!$F$20,"UP lebih besar dari fitur produk",IF(K47+L47/12&gt;'Spek Produk'!$I$22,"Masa asuransi lebih besar dari fitur produk",IF(AND(Q47+K47+L47/12&gt;'Spek Produk'!$H$24,Q47&lt;&gt;0,Q47&lt;&gt;""),"Maksimum masa asuransi untuk nasabah berusia "&amp;Q47&amp;" tahun adalah "&amp;MAX(0,'Spek Produk'!$H$24-Q47)&amp;" tahun",IF(AND(0&lt;K47+L47/12,K47+L47/12&lt;'Spek Produk'!$G$22),"Masa asuransi lebih kecil dari fitur produk"," ")))))),IF(AND(Q47&gt;'Spek Produk'!$I$35,Q47&lt;&gt;""),"Usia masuk lebih besar dari fitur produk",IF(AND(Q47&lt;'Spek Produk'!$G$35,Q47&lt;&gt;0,Q47&lt;&gt;""),"Usia masuk lebih rendah dari fitur produk",IF(N47&gt;'Spek Produk'!$F$32,"UP lebih besar dari fitur produk",IF(K47+L47/12&gt;'Spek Produk'!$I$34,"Masa asuransi lebih besar dari fitur produk",IF(AND(Q47+K47+L47/12&gt;'Spek Produk'!$H$36,Q47&lt;&gt;0,Q47&lt;&gt;""),"Maksimum masa asuransi untuk nasabah berusia "&amp;Q47&amp;" tahun adalah "&amp;MAX(0,'Spek Produk'!$H$36-Q47)&amp;" tahun",IF(AND(0&lt;K47+L47/12,K47+L47/12&lt;'Spek Produk'!$G$34),"Masa asuransi lebih Kecil dari fitur produk"," ")))))))</f>
        <v xml:space="preserve"> </v>
      </c>
      <c r="W47" s="77"/>
    </row>
    <row r="48" spans="1:23" x14ac:dyDescent="0.35">
      <c r="A48" s="43">
        <f t="shared" si="4"/>
        <v>43</v>
      </c>
      <c r="B48" s="34"/>
      <c r="C48" s="35"/>
      <c r="D48" s="34"/>
      <c r="E48" s="36"/>
      <c r="F48" s="33"/>
      <c r="G48" s="33"/>
      <c r="H48" s="37"/>
      <c r="I48" s="89"/>
      <c r="J48" s="89"/>
      <c r="K48" s="33"/>
      <c r="L48" s="33"/>
      <c r="M48" s="33"/>
      <c r="N48" s="38"/>
      <c r="P48" s="83">
        <v>0</v>
      </c>
      <c r="Q48" s="39">
        <f t="shared" si="1"/>
        <v>0</v>
      </c>
      <c r="R48" s="40" t="str">
        <f>IF(V48&lt;&gt;" ",V48,IFERROR(VLOOKUP(Q48,IF('Spek Produk'!$F$9="Syariah",Medic!$A$21:$L$27,Medic!$A$12:$L$18),MATCH(N48,IF('Spek Produk'!$F$9="Syariah",Medic!$B$21:$L$21,Medic!$B$12:$L$12),TRUE)+1),""))</f>
        <v/>
      </c>
      <c r="S48" s="92" t="str">
        <f t="shared" si="5"/>
        <v/>
      </c>
      <c r="T48" s="41" t="str">
        <f t="shared" si="2"/>
        <v/>
      </c>
      <c r="U48" s="92" t="str">
        <f t="shared" si="3"/>
        <v/>
      </c>
      <c r="V48" s="77" t="str">
        <f>IF(M48="Menurun",IF(AND(Q48&gt;'Spek Produk'!$I$23,Q48&lt;&gt;""),"Usia masuk lebih besar dari fitur produk",IF(AND(Q48&lt;'Spek Produk'!$G$23,Q48&lt;&gt;0,Q48&lt;&gt;""),"Usia masuk lebih rendah dari fitur produk",IF(N48&gt;'Spek Produk'!$F$20,"UP lebih besar dari fitur produk",IF(K48+L48/12&gt;'Spek Produk'!$I$22,"Masa asuransi lebih besar dari fitur produk",IF(AND(Q48+K48+L48/12&gt;'Spek Produk'!$H$24,Q48&lt;&gt;0,Q48&lt;&gt;""),"Maksimum masa asuransi untuk nasabah berusia "&amp;Q48&amp;" tahun adalah "&amp;MAX(0,'Spek Produk'!$H$24-Q48)&amp;" tahun",IF(AND(0&lt;K48+L48/12,K48+L48/12&lt;'Spek Produk'!$G$22),"Masa asuransi lebih kecil dari fitur produk"," ")))))),IF(AND(Q48&gt;'Spek Produk'!$I$35,Q48&lt;&gt;""),"Usia masuk lebih besar dari fitur produk",IF(AND(Q48&lt;'Spek Produk'!$G$35,Q48&lt;&gt;0,Q48&lt;&gt;""),"Usia masuk lebih rendah dari fitur produk",IF(N48&gt;'Spek Produk'!$F$32,"UP lebih besar dari fitur produk",IF(K48+L48/12&gt;'Spek Produk'!$I$34,"Masa asuransi lebih besar dari fitur produk",IF(AND(Q48+K48+L48/12&gt;'Spek Produk'!$H$36,Q48&lt;&gt;0,Q48&lt;&gt;""),"Maksimum masa asuransi untuk nasabah berusia "&amp;Q48&amp;" tahun adalah "&amp;MAX(0,'Spek Produk'!$H$36-Q48)&amp;" tahun",IF(AND(0&lt;K48+L48/12,K48+L48/12&lt;'Spek Produk'!$G$34),"Masa asuransi lebih Kecil dari fitur produk"," ")))))))</f>
        <v xml:space="preserve"> </v>
      </c>
      <c r="W48" s="77"/>
    </row>
    <row r="49" spans="1:23" x14ac:dyDescent="0.35">
      <c r="A49" s="43">
        <f t="shared" si="4"/>
        <v>44</v>
      </c>
      <c r="B49" s="34"/>
      <c r="C49" s="35"/>
      <c r="D49" s="34"/>
      <c r="E49" s="36"/>
      <c r="F49" s="33"/>
      <c r="G49" s="33"/>
      <c r="H49" s="37"/>
      <c r="I49" s="89"/>
      <c r="J49" s="89"/>
      <c r="K49" s="33"/>
      <c r="L49" s="33"/>
      <c r="M49" s="33"/>
      <c r="N49" s="38"/>
      <c r="P49" s="83">
        <v>0</v>
      </c>
      <c r="Q49" s="39">
        <f t="shared" si="1"/>
        <v>0</v>
      </c>
      <c r="R49" s="40" t="str">
        <f>IF(V49&lt;&gt;" ",V49,IFERROR(VLOOKUP(Q49,IF('Spek Produk'!$F$9="Syariah",Medic!$A$21:$L$27,Medic!$A$12:$L$18),MATCH(N49,IF('Spek Produk'!$F$9="Syariah",Medic!$B$21:$L$21,Medic!$B$12:$L$12),TRUE)+1),""))</f>
        <v/>
      </c>
      <c r="S49" s="92" t="str">
        <f t="shared" si="5"/>
        <v/>
      </c>
      <c r="T49" s="41" t="str">
        <f t="shared" si="2"/>
        <v/>
      </c>
      <c r="U49" s="92" t="str">
        <f t="shared" si="3"/>
        <v/>
      </c>
      <c r="V49" s="77" t="str">
        <f>IF(M49="Menurun",IF(AND(Q49&gt;'Spek Produk'!$I$23,Q49&lt;&gt;""),"Usia masuk lebih besar dari fitur produk",IF(AND(Q49&lt;'Spek Produk'!$G$23,Q49&lt;&gt;0,Q49&lt;&gt;""),"Usia masuk lebih rendah dari fitur produk",IF(N49&gt;'Spek Produk'!$F$20,"UP lebih besar dari fitur produk",IF(K49+L49/12&gt;'Spek Produk'!$I$22,"Masa asuransi lebih besar dari fitur produk",IF(AND(Q49+K49+L49/12&gt;'Spek Produk'!$H$24,Q49&lt;&gt;0,Q49&lt;&gt;""),"Maksimum masa asuransi untuk nasabah berusia "&amp;Q49&amp;" tahun adalah "&amp;MAX(0,'Spek Produk'!$H$24-Q49)&amp;" tahun",IF(AND(0&lt;K49+L49/12,K49+L49/12&lt;'Spek Produk'!$G$22),"Masa asuransi lebih kecil dari fitur produk"," ")))))),IF(AND(Q49&gt;'Spek Produk'!$I$35,Q49&lt;&gt;""),"Usia masuk lebih besar dari fitur produk",IF(AND(Q49&lt;'Spek Produk'!$G$35,Q49&lt;&gt;0,Q49&lt;&gt;""),"Usia masuk lebih rendah dari fitur produk",IF(N49&gt;'Spek Produk'!$F$32,"UP lebih besar dari fitur produk",IF(K49+L49/12&gt;'Spek Produk'!$I$34,"Masa asuransi lebih besar dari fitur produk",IF(AND(Q49+K49+L49/12&gt;'Spek Produk'!$H$36,Q49&lt;&gt;0,Q49&lt;&gt;""),"Maksimum masa asuransi untuk nasabah berusia "&amp;Q49&amp;" tahun adalah "&amp;MAX(0,'Spek Produk'!$H$36-Q49)&amp;" tahun",IF(AND(0&lt;K49+L49/12,K49+L49/12&lt;'Spek Produk'!$G$34),"Masa asuransi lebih Kecil dari fitur produk"," ")))))))</f>
        <v xml:space="preserve"> </v>
      </c>
      <c r="W49" s="77"/>
    </row>
    <row r="50" spans="1:23" x14ac:dyDescent="0.35">
      <c r="A50" s="43">
        <f t="shared" si="4"/>
        <v>45</v>
      </c>
      <c r="B50" s="34"/>
      <c r="C50" s="35"/>
      <c r="D50" s="34"/>
      <c r="E50" s="36"/>
      <c r="F50" s="33"/>
      <c r="G50" s="33"/>
      <c r="H50" s="37"/>
      <c r="I50" s="89"/>
      <c r="J50" s="89"/>
      <c r="K50" s="33"/>
      <c r="L50" s="33"/>
      <c r="M50" s="33"/>
      <c r="N50" s="38"/>
      <c r="P50" s="83">
        <v>0</v>
      </c>
      <c r="Q50" s="39">
        <f t="shared" si="1"/>
        <v>0</v>
      </c>
      <c r="R50" s="40" t="str">
        <f>IF(V50&lt;&gt;" ",V50,IFERROR(VLOOKUP(Q50,IF('Spek Produk'!$F$9="Syariah",Medic!$A$21:$L$27,Medic!$A$12:$L$18),MATCH(N50,IF('Spek Produk'!$F$9="Syariah",Medic!$B$21:$L$21,Medic!$B$12:$L$12),TRUE)+1),""))</f>
        <v/>
      </c>
      <c r="S50" s="92" t="str">
        <f t="shared" si="5"/>
        <v/>
      </c>
      <c r="T50" s="41" t="str">
        <f t="shared" si="2"/>
        <v/>
      </c>
      <c r="U50" s="92" t="str">
        <f t="shared" si="3"/>
        <v/>
      </c>
      <c r="V50" s="77" t="str">
        <f>IF(M50="Menurun",IF(AND(Q50&gt;'Spek Produk'!$I$23,Q50&lt;&gt;""),"Usia masuk lebih besar dari fitur produk",IF(AND(Q50&lt;'Spek Produk'!$G$23,Q50&lt;&gt;0,Q50&lt;&gt;""),"Usia masuk lebih rendah dari fitur produk",IF(N50&gt;'Spek Produk'!$F$20,"UP lebih besar dari fitur produk",IF(K50+L50/12&gt;'Spek Produk'!$I$22,"Masa asuransi lebih besar dari fitur produk",IF(AND(Q50+K50+L50/12&gt;'Spek Produk'!$H$24,Q50&lt;&gt;0,Q50&lt;&gt;""),"Maksimum masa asuransi untuk nasabah berusia "&amp;Q50&amp;" tahun adalah "&amp;MAX(0,'Spek Produk'!$H$24-Q50)&amp;" tahun",IF(AND(0&lt;K50+L50/12,K50+L50/12&lt;'Spek Produk'!$G$22),"Masa asuransi lebih kecil dari fitur produk"," ")))))),IF(AND(Q50&gt;'Spek Produk'!$I$35,Q50&lt;&gt;""),"Usia masuk lebih besar dari fitur produk",IF(AND(Q50&lt;'Spek Produk'!$G$35,Q50&lt;&gt;0,Q50&lt;&gt;""),"Usia masuk lebih rendah dari fitur produk",IF(N50&gt;'Spek Produk'!$F$32,"UP lebih besar dari fitur produk",IF(K50+L50/12&gt;'Spek Produk'!$I$34,"Masa asuransi lebih besar dari fitur produk",IF(AND(Q50+K50+L50/12&gt;'Spek Produk'!$H$36,Q50&lt;&gt;0,Q50&lt;&gt;""),"Maksimum masa asuransi untuk nasabah berusia "&amp;Q50&amp;" tahun adalah "&amp;MAX(0,'Spek Produk'!$H$36-Q50)&amp;" tahun",IF(AND(0&lt;K50+L50/12,K50+L50/12&lt;'Spek Produk'!$G$34),"Masa asuransi lebih Kecil dari fitur produk"," ")))))))</f>
        <v xml:space="preserve"> </v>
      </c>
      <c r="W50" s="77"/>
    </row>
    <row r="51" spans="1:23" x14ac:dyDescent="0.35">
      <c r="A51" s="43">
        <f t="shared" si="4"/>
        <v>46</v>
      </c>
      <c r="B51" s="34"/>
      <c r="C51" s="35"/>
      <c r="D51" s="34"/>
      <c r="E51" s="36"/>
      <c r="F51" s="33"/>
      <c r="G51" s="33"/>
      <c r="H51" s="37"/>
      <c r="I51" s="89"/>
      <c r="J51" s="89"/>
      <c r="K51" s="33"/>
      <c r="L51" s="33"/>
      <c r="M51" s="33"/>
      <c r="N51" s="38"/>
      <c r="P51" s="83">
        <v>0</v>
      </c>
      <c r="Q51" s="39">
        <f t="shared" si="1"/>
        <v>0</v>
      </c>
      <c r="R51" s="40" t="str">
        <f>IF(V51&lt;&gt;" ",V51,IFERROR(VLOOKUP(Q51,IF('Spek Produk'!$F$9="Syariah",Medic!$A$21:$L$27,Medic!$A$12:$L$18),MATCH(N51,IF('Spek Produk'!$F$9="Syariah",Medic!$B$21:$L$21,Medic!$B$12:$L$12),TRUE)+1),""))</f>
        <v/>
      </c>
      <c r="S51" s="92" t="str">
        <f t="shared" si="5"/>
        <v/>
      </c>
      <c r="T51" s="41" t="str">
        <f t="shared" si="2"/>
        <v/>
      </c>
      <c r="U51" s="92" t="str">
        <f t="shared" si="3"/>
        <v/>
      </c>
      <c r="V51" s="77" t="str">
        <f>IF(M51="Menurun",IF(AND(Q51&gt;'Spek Produk'!$I$23,Q51&lt;&gt;""),"Usia masuk lebih besar dari fitur produk",IF(AND(Q51&lt;'Spek Produk'!$G$23,Q51&lt;&gt;0,Q51&lt;&gt;""),"Usia masuk lebih rendah dari fitur produk",IF(N51&gt;'Spek Produk'!$F$20,"UP lebih besar dari fitur produk",IF(K51+L51/12&gt;'Spek Produk'!$I$22,"Masa asuransi lebih besar dari fitur produk",IF(AND(Q51+K51+L51/12&gt;'Spek Produk'!$H$24,Q51&lt;&gt;0,Q51&lt;&gt;""),"Maksimum masa asuransi untuk nasabah berusia "&amp;Q51&amp;" tahun adalah "&amp;MAX(0,'Spek Produk'!$H$24-Q51)&amp;" tahun",IF(AND(0&lt;K51+L51/12,K51+L51/12&lt;'Spek Produk'!$G$22),"Masa asuransi lebih kecil dari fitur produk"," ")))))),IF(AND(Q51&gt;'Spek Produk'!$I$35,Q51&lt;&gt;""),"Usia masuk lebih besar dari fitur produk",IF(AND(Q51&lt;'Spek Produk'!$G$35,Q51&lt;&gt;0,Q51&lt;&gt;""),"Usia masuk lebih rendah dari fitur produk",IF(N51&gt;'Spek Produk'!$F$32,"UP lebih besar dari fitur produk",IF(K51+L51/12&gt;'Spek Produk'!$I$34,"Masa asuransi lebih besar dari fitur produk",IF(AND(Q51+K51+L51/12&gt;'Spek Produk'!$H$36,Q51&lt;&gt;0,Q51&lt;&gt;""),"Maksimum masa asuransi untuk nasabah berusia "&amp;Q51&amp;" tahun adalah "&amp;MAX(0,'Spek Produk'!$H$36-Q51)&amp;" tahun",IF(AND(0&lt;K51+L51/12,K51+L51/12&lt;'Spek Produk'!$G$34),"Masa asuransi lebih Kecil dari fitur produk"," ")))))))</f>
        <v xml:space="preserve"> </v>
      </c>
      <c r="W51" s="77"/>
    </row>
    <row r="52" spans="1:23" x14ac:dyDescent="0.35">
      <c r="A52" s="43">
        <f t="shared" si="4"/>
        <v>47</v>
      </c>
      <c r="B52" s="34"/>
      <c r="C52" s="35"/>
      <c r="D52" s="34"/>
      <c r="E52" s="36"/>
      <c r="F52" s="33"/>
      <c r="G52" s="33"/>
      <c r="H52" s="37"/>
      <c r="I52" s="89"/>
      <c r="J52" s="89"/>
      <c r="K52" s="33"/>
      <c r="L52" s="33"/>
      <c r="M52" s="33"/>
      <c r="N52" s="38"/>
      <c r="P52" s="83">
        <v>0</v>
      </c>
      <c r="Q52" s="39">
        <f t="shared" si="1"/>
        <v>0</v>
      </c>
      <c r="R52" s="40" t="str">
        <f>IF(V52&lt;&gt;" ",V52,IFERROR(VLOOKUP(Q52,IF('Spek Produk'!$F$9="Syariah",Medic!$A$21:$L$27,Medic!$A$12:$L$18),MATCH(N52,IF('Spek Produk'!$F$9="Syariah",Medic!$B$21:$L$21,Medic!$B$12:$L$12),TRUE)+1),""))</f>
        <v/>
      </c>
      <c r="S52" s="92" t="str">
        <f t="shared" si="5"/>
        <v/>
      </c>
      <c r="T52" s="41" t="str">
        <f t="shared" si="2"/>
        <v/>
      </c>
      <c r="U52" s="92" t="str">
        <f t="shared" si="3"/>
        <v/>
      </c>
      <c r="V52" s="77" t="str">
        <f>IF(M52="Menurun",IF(AND(Q52&gt;'Spek Produk'!$I$23,Q52&lt;&gt;""),"Usia masuk lebih besar dari fitur produk",IF(AND(Q52&lt;'Spek Produk'!$G$23,Q52&lt;&gt;0,Q52&lt;&gt;""),"Usia masuk lebih rendah dari fitur produk",IF(N52&gt;'Spek Produk'!$F$20,"UP lebih besar dari fitur produk",IF(K52+L52/12&gt;'Spek Produk'!$I$22,"Masa asuransi lebih besar dari fitur produk",IF(AND(Q52+K52+L52/12&gt;'Spek Produk'!$H$24,Q52&lt;&gt;0,Q52&lt;&gt;""),"Maksimum masa asuransi untuk nasabah berusia "&amp;Q52&amp;" tahun adalah "&amp;MAX(0,'Spek Produk'!$H$24-Q52)&amp;" tahun",IF(AND(0&lt;K52+L52/12,K52+L52/12&lt;'Spek Produk'!$G$22),"Masa asuransi lebih kecil dari fitur produk"," ")))))),IF(AND(Q52&gt;'Spek Produk'!$I$35,Q52&lt;&gt;""),"Usia masuk lebih besar dari fitur produk",IF(AND(Q52&lt;'Spek Produk'!$G$35,Q52&lt;&gt;0,Q52&lt;&gt;""),"Usia masuk lebih rendah dari fitur produk",IF(N52&gt;'Spek Produk'!$F$32,"UP lebih besar dari fitur produk",IF(K52+L52/12&gt;'Spek Produk'!$I$34,"Masa asuransi lebih besar dari fitur produk",IF(AND(Q52+K52+L52/12&gt;'Spek Produk'!$H$36,Q52&lt;&gt;0,Q52&lt;&gt;""),"Maksimum masa asuransi untuk nasabah berusia "&amp;Q52&amp;" tahun adalah "&amp;MAX(0,'Spek Produk'!$H$36-Q52)&amp;" tahun",IF(AND(0&lt;K52+L52/12,K52+L52/12&lt;'Spek Produk'!$G$34),"Masa asuransi lebih Kecil dari fitur produk"," ")))))))</f>
        <v xml:space="preserve"> </v>
      </c>
      <c r="W52" s="77"/>
    </row>
    <row r="53" spans="1:23" x14ac:dyDescent="0.35">
      <c r="A53" s="43">
        <f t="shared" si="4"/>
        <v>48</v>
      </c>
      <c r="B53" s="34"/>
      <c r="C53" s="35"/>
      <c r="D53" s="34"/>
      <c r="E53" s="36"/>
      <c r="F53" s="33"/>
      <c r="G53" s="33"/>
      <c r="H53" s="37"/>
      <c r="I53" s="89"/>
      <c r="J53" s="89"/>
      <c r="K53" s="33"/>
      <c r="L53" s="33"/>
      <c r="M53" s="33"/>
      <c r="N53" s="38"/>
      <c r="P53" s="83">
        <v>0</v>
      </c>
      <c r="Q53" s="39">
        <f t="shared" si="1"/>
        <v>0</v>
      </c>
      <c r="R53" s="40" t="str">
        <f>IF(V53&lt;&gt;" ",V53,IFERROR(VLOOKUP(Q53,IF('Spek Produk'!$F$9="Syariah",Medic!$A$21:$L$27,Medic!$A$12:$L$18),MATCH(N53,IF('Spek Produk'!$F$9="Syariah",Medic!$B$21:$L$21,Medic!$B$12:$L$12),TRUE)+1),""))</f>
        <v/>
      </c>
      <c r="S53" s="92" t="str">
        <f t="shared" si="5"/>
        <v/>
      </c>
      <c r="T53" s="41" t="str">
        <f t="shared" si="2"/>
        <v/>
      </c>
      <c r="U53" s="92" t="str">
        <f t="shared" si="3"/>
        <v/>
      </c>
      <c r="V53" s="77" t="str">
        <f>IF(M53="Menurun",IF(AND(Q53&gt;'Spek Produk'!$I$23,Q53&lt;&gt;""),"Usia masuk lebih besar dari fitur produk",IF(AND(Q53&lt;'Spek Produk'!$G$23,Q53&lt;&gt;0,Q53&lt;&gt;""),"Usia masuk lebih rendah dari fitur produk",IF(N53&gt;'Spek Produk'!$F$20,"UP lebih besar dari fitur produk",IF(K53+L53/12&gt;'Spek Produk'!$I$22,"Masa asuransi lebih besar dari fitur produk",IF(AND(Q53+K53+L53/12&gt;'Spek Produk'!$H$24,Q53&lt;&gt;0,Q53&lt;&gt;""),"Maksimum masa asuransi untuk nasabah berusia "&amp;Q53&amp;" tahun adalah "&amp;MAX(0,'Spek Produk'!$H$24-Q53)&amp;" tahun",IF(AND(0&lt;K53+L53/12,K53+L53/12&lt;'Spek Produk'!$G$22),"Masa asuransi lebih kecil dari fitur produk"," ")))))),IF(AND(Q53&gt;'Spek Produk'!$I$35,Q53&lt;&gt;""),"Usia masuk lebih besar dari fitur produk",IF(AND(Q53&lt;'Spek Produk'!$G$35,Q53&lt;&gt;0,Q53&lt;&gt;""),"Usia masuk lebih rendah dari fitur produk",IF(N53&gt;'Spek Produk'!$F$32,"UP lebih besar dari fitur produk",IF(K53+L53/12&gt;'Spek Produk'!$I$34,"Masa asuransi lebih besar dari fitur produk",IF(AND(Q53+K53+L53/12&gt;'Spek Produk'!$H$36,Q53&lt;&gt;0,Q53&lt;&gt;""),"Maksimum masa asuransi untuk nasabah berusia "&amp;Q53&amp;" tahun adalah "&amp;MAX(0,'Spek Produk'!$H$36-Q53)&amp;" tahun",IF(AND(0&lt;K53+L53/12,K53+L53/12&lt;'Spek Produk'!$G$34),"Masa asuransi lebih Kecil dari fitur produk"," ")))))))</f>
        <v xml:space="preserve"> </v>
      </c>
      <c r="W53" s="77"/>
    </row>
    <row r="54" spans="1:23" x14ac:dyDescent="0.35">
      <c r="A54" s="43">
        <f t="shared" si="4"/>
        <v>49</v>
      </c>
      <c r="B54" s="34"/>
      <c r="C54" s="35"/>
      <c r="D54" s="34"/>
      <c r="E54" s="36"/>
      <c r="F54" s="33"/>
      <c r="G54" s="33"/>
      <c r="H54" s="37"/>
      <c r="I54" s="89"/>
      <c r="J54" s="89"/>
      <c r="K54" s="33"/>
      <c r="L54" s="33"/>
      <c r="M54" s="33"/>
      <c r="N54" s="38"/>
      <c r="P54" s="83">
        <v>0</v>
      </c>
      <c r="Q54" s="39">
        <f t="shared" si="1"/>
        <v>0</v>
      </c>
      <c r="R54" s="40" t="str">
        <f>IF(V54&lt;&gt;" ",V54,IFERROR(VLOOKUP(Q54,IF('Spek Produk'!$F$9="Syariah",Medic!$A$21:$L$27,Medic!$A$12:$L$18),MATCH(N54,IF('Spek Produk'!$F$9="Syariah",Medic!$B$21:$L$21,Medic!$B$12:$L$12),TRUE)+1),""))</f>
        <v/>
      </c>
      <c r="S54" s="92" t="str">
        <f t="shared" si="5"/>
        <v/>
      </c>
      <c r="T54" s="41" t="str">
        <f t="shared" si="2"/>
        <v/>
      </c>
      <c r="U54" s="92" t="str">
        <f t="shared" si="3"/>
        <v/>
      </c>
      <c r="V54" s="77" t="str">
        <f>IF(M54="Menurun",IF(AND(Q54&gt;'Spek Produk'!$I$23,Q54&lt;&gt;""),"Usia masuk lebih besar dari fitur produk",IF(AND(Q54&lt;'Spek Produk'!$G$23,Q54&lt;&gt;0,Q54&lt;&gt;""),"Usia masuk lebih rendah dari fitur produk",IF(N54&gt;'Spek Produk'!$F$20,"UP lebih besar dari fitur produk",IF(K54+L54/12&gt;'Spek Produk'!$I$22,"Masa asuransi lebih besar dari fitur produk",IF(AND(Q54+K54+L54/12&gt;'Spek Produk'!$H$24,Q54&lt;&gt;0,Q54&lt;&gt;""),"Maksimum masa asuransi untuk nasabah berusia "&amp;Q54&amp;" tahun adalah "&amp;MAX(0,'Spek Produk'!$H$24-Q54)&amp;" tahun",IF(AND(0&lt;K54+L54/12,K54+L54/12&lt;'Spek Produk'!$G$22),"Masa asuransi lebih kecil dari fitur produk"," ")))))),IF(AND(Q54&gt;'Spek Produk'!$I$35,Q54&lt;&gt;""),"Usia masuk lebih besar dari fitur produk",IF(AND(Q54&lt;'Spek Produk'!$G$35,Q54&lt;&gt;0,Q54&lt;&gt;""),"Usia masuk lebih rendah dari fitur produk",IF(N54&gt;'Spek Produk'!$F$32,"UP lebih besar dari fitur produk",IF(K54+L54/12&gt;'Spek Produk'!$I$34,"Masa asuransi lebih besar dari fitur produk",IF(AND(Q54+K54+L54/12&gt;'Spek Produk'!$H$36,Q54&lt;&gt;0,Q54&lt;&gt;""),"Maksimum masa asuransi untuk nasabah berusia "&amp;Q54&amp;" tahun adalah "&amp;MAX(0,'Spek Produk'!$H$36-Q54)&amp;" tahun",IF(AND(0&lt;K54+L54/12,K54+L54/12&lt;'Spek Produk'!$G$34),"Masa asuransi lebih Kecil dari fitur produk"," ")))))))</f>
        <v xml:space="preserve"> </v>
      </c>
      <c r="W54" s="77"/>
    </row>
    <row r="55" spans="1:23" x14ac:dyDescent="0.35">
      <c r="A55" s="43">
        <f t="shared" si="4"/>
        <v>50</v>
      </c>
      <c r="B55" s="34"/>
      <c r="C55" s="35"/>
      <c r="D55" s="34"/>
      <c r="E55" s="36"/>
      <c r="F55" s="33"/>
      <c r="G55" s="33"/>
      <c r="H55" s="37"/>
      <c r="I55" s="89"/>
      <c r="J55" s="89"/>
      <c r="K55" s="33"/>
      <c r="L55" s="33"/>
      <c r="M55" s="33"/>
      <c r="N55" s="38"/>
      <c r="P55" s="83">
        <v>0</v>
      </c>
      <c r="Q55" s="39">
        <f t="shared" si="1"/>
        <v>0</v>
      </c>
      <c r="R55" s="40" t="str">
        <f>IF(V55&lt;&gt;" ",V55,IFERROR(VLOOKUP(Q55,IF('Spek Produk'!$F$9="Syariah",Medic!$A$21:$L$27,Medic!$A$12:$L$18),MATCH(N55,IF('Spek Produk'!$F$9="Syariah",Medic!$B$21:$L$21,Medic!$B$12:$L$12),TRUE)+1),""))</f>
        <v/>
      </c>
      <c r="S55" s="92" t="str">
        <f t="shared" si="5"/>
        <v/>
      </c>
      <c r="T55" s="41" t="str">
        <f t="shared" si="2"/>
        <v/>
      </c>
      <c r="U55" s="92" t="str">
        <f t="shared" si="3"/>
        <v/>
      </c>
      <c r="V55" s="77" t="str">
        <f>IF(M55="Menurun",IF(AND(Q55&gt;'Spek Produk'!$I$23,Q55&lt;&gt;""),"Usia masuk lebih besar dari fitur produk",IF(AND(Q55&lt;'Spek Produk'!$G$23,Q55&lt;&gt;0,Q55&lt;&gt;""),"Usia masuk lebih rendah dari fitur produk",IF(N55&gt;'Spek Produk'!$F$20,"UP lebih besar dari fitur produk",IF(K55+L55/12&gt;'Spek Produk'!$I$22,"Masa asuransi lebih besar dari fitur produk",IF(AND(Q55+K55+L55/12&gt;'Spek Produk'!$H$24,Q55&lt;&gt;0,Q55&lt;&gt;""),"Maksimum masa asuransi untuk nasabah berusia "&amp;Q55&amp;" tahun adalah "&amp;MAX(0,'Spek Produk'!$H$24-Q55)&amp;" tahun",IF(AND(0&lt;K55+L55/12,K55+L55/12&lt;'Spek Produk'!$G$22),"Masa asuransi lebih kecil dari fitur produk"," ")))))),IF(AND(Q55&gt;'Spek Produk'!$I$35,Q55&lt;&gt;""),"Usia masuk lebih besar dari fitur produk",IF(AND(Q55&lt;'Spek Produk'!$G$35,Q55&lt;&gt;0,Q55&lt;&gt;""),"Usia masuk lebih rendah dari fitur produk",IF(N55&gt;'Spek Produk'!$F$32,"UP lebih besar dari fitur produk",IF(K55+L55/12&gt;'Spek Produk'!$I$34,"Masa asuransi lebih besar dari fitur produk",IF(AND(Q55+K55+L55/12&gt;'Spek Produk'!$H$36,Q55&lt;&gt;0,Q55&lt;&gt;""),"Maksimum masa asuransi untuk nasabah berusia "&amp;Q55&amp;" tahun adalah "&amp;MAX(0,'Spek Produk'!$H$36-Q55)&amp;" tahun",IF(AND(0&lt;K55+L55/12,K55+L55/12&lt;'Spek Produk'!$G$34),"Masa asuransi lebih Kecil dari fitur produk"," ")))))))</f>
        <v xml:space="preserve"> </v>
      </c>
      <c r="W55" s="77"/>
    </row>
    <row r="56" spans="1:23" x14ac:dyDescent="0.35">
      <c r="A56" s="43"/>
      <c r="B56" s="81"/>
      <c r="C56" s="82"/>
      <c r="D56" s="81"/>
      <c r="E56" s="84"/>
      <c r="F56" s="43"/>
      <c r="G56" s="43"/>
      <c r="H56" s="85"/>
      <c r="I56" s="42" t="s">
        <v>78</v>
      </c>
      <c r="J56" s="43"/>
      <c r="K56" s="43"/>
      <c r="L56" s="43"/>
      <c r="M56" s="86" t="s">
        <v>79</v>
      </c>
      <c r="N56" s="44">
        <f>SUM(N6:N55)</f>
        <v>335000000</v>
      </c>
      <c r="P56" s="45"/>
      <c r="Q56" s="45"/>
      <c r="R56" s="45"/>
      <c r="S56" s="46">
        <f>SUM(S6:S55)</f>
        <v>5410350</v>
      </c>
      <c r="T56" s="46">
        <f>SUM(T6:T55)</f>
        <v>0</v>
      </c>
      <c r="U56" s="46">
        <f>SUM(U6:U55)</f>
        <v>5410350</v>
      </c>
    </row>
    <row r="57" spans="1:23" ht="18" customHeight="1" x14ac:dyDescent="0.35">
      <c r="A57" s="87" t="s">
        <v>80</v>
      </c>
    </row>
  </sheetData>
  <sheetProtection algorithmName="SHA-512" hashValue="vE3M7EGAj9DMuLSFN5XXUIqDSikJKRW2BgmNYa8JcsyA0bVGncCAgZ5eUMHgv22vd8leGJHawKYGBfnPzWH6ow==" saltValue="iaSiXZAzOnhzkYZWdEURpA==" spinCount="100000" sheet="1" objects="1" scenarios="1"/>
  <protectedRanges>
    <protectedRange algorithmName="SHA-512" hashValue="EVL9VXIMEALf8nAKdXPAaeGY1O8R1Z9mIB3ZWgmi8pz55dgBUM3aTbj0lO9KpoE70SNJ1xtI3UjChsIhMvSPSg==" saltValue="klM67NxR8gvgHh1ObG2ElA==" spinCount="100000" sqref="R6:U55" name="Range1"/>
  </protectedRanges>
  <mergeCells count="19">
    <mergeCell ref="U4:U5"/>
    <mergeCell ref="N4:N5"/>
    <mergeCell ref="P4:P5"/>
    <mergeCell ref="Q4:Q5"/>
    <mergeCell ref="R4:R5"/>
    <mergeCell ref="S4:S5"/>
    <mergeCell ref="T4:T5"/>
    <mergeCell ref="M4:M5"/>
    <mergeCell ref="A4:A5"/>
    <mergeCell ref="B4:B5"/>
    <mergeCell ref="C4:C5"/>
    <mergeCell ref="D4:D5"/>
    <mergeCell ref="E4:E5"/>
    <mergeCell ref="F4:F5"/>
    <mergeCell ref="G4:G5"/>
    <mergeCell ref="H4:H5"/>
    <mergeCell ref="I4:I5"/>
    <mergeCell ref="J4:J5"/>
    <mergeCell ref="K4:L4"/>
  </mergeCell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ignoredErrors>
    <ignoredError sqref="E6:E1048576" numberStoredAsText="1"/>
  </ignoredErrors>
  <extLst>
    <ext xmlns:x14="http://schemas.microsoft.com/office/spreadsheetml/2009/9/main" uri="{CCE6A557-97BC-4b89-ADB6-D9C93CAAB3DF}">
      <x14:dataValidations xmlns:xm="http://schemas.microsoft.com/office/excel/2006/main"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AND(Q6&lt;=IF(M6="Menurun",'Spek Produk'!$I$23,'Spek Produk'!$I$35),Q6&gt;=IF(M6="Menurun",'Spek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N6:N55</xm:sqref>
        </x14:dataValidation>
        <x14:dataValidation type="decimal" allowBlank="1" showInputMessage="1" showErrorMessage="1" error="Masa Asuransi yang dipilih tidak sesuai dengan spesifikasi produk Asuransi!_x000a_" xr:uid="{FC1043C0-7474-4AB3-9378-393764C4CD87}">
          <x14:formula1>
            <xm:f>0</xm:f>
          </x14:formula1>
          <x14:formula2>
            <xm:f>IF(IF(M6="Menurun",K6=MAX('Spek Produk'!$AR$42:$XFD$42),K6=MAX('Spek Produk'!$AR$43:$XFD$43)),0,11)</xm:f>
          </x14:formula2>
          <xm:sqref>L6:L55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Simulasi Premi 1 (Personal)</vt:lpstr>
      <vt:lpstr>Simulasi Premi 2 (Group)</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Microsoft365 Asj51</cp:lastModifiedBy>
  <cp:lastPrinted>2019-12-16T14:56:38Z</cp:lastPrinted>
  <dcterms:created xsi:type="dcterms:W3CDTF">2019-12-11T07:45:57Z</dcterms:created>
  <dcterms:modified xsi:type="dcterms:W3CDTF">2026-10-12T09:47:59Z</dcterms:modified>
</cp:coreProperties>
</file>