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30430" codeName="{82680DD9-3F13-7979-5B5F-3D2375947C00}"/>
  <workbookPr codeName="ThisWorkbook" defaultThemeVersion="124226"/>
  <mc:AlternateContent xmlns:mc="http://schemas.openxmlformats.org/markup-compatibility/2006">
    <mc:Choice Requires="x15">
      <x15ac:absPath xmlns:x15ac="http://schemas.microsoft.com/office/spreadsheetml/2010/11/ac" url="P:\Confidential\Product Pricing\2026\Others (Adhoc)\Kalkulator Premi\AJK BPR Binarta Luhur\"/>
    </mc:Choice>
  </mc:AlternateContent>
  <xr:revisionPtr revIDLastSave="0" documentId="13_ncr:1_{B1CF9399-608B-4342-8F5A-573ECE932F50}" xr6:coauthVersionLast="47" xr6:coauthVersionMax="47" xr10:uidLastSave="{00000000-0000-0000-0000-000000000000}"/>
  <bookViews>
    <workbookView xWindow="-110" yWindow="-110" windowWidth="19420" windowHeight="11500" tabRatio="876" firstSheet="2" activeTab="2" xr2:uid="{00000000-000D-0000-FFFF-FFFF00000000}"/>
  </bookViews>
  <sheets>
    <sheet name="Spek Produk" sheetId="19" state="veryHidden" r:id="rId1"/>
    <sheet name="Medic" sheetId="17" state="veryHidden" r:id="rId2"/>
    <sheet name="Simulasi Premi 1 (Personal)" sheetId="14" r:id="rId3"/>
    <sheet name="Simulasi Premi 2 (Group)" sheetId="20" r:id="rId4"/>
  </sheets>
  <externalReferences>
    <externalReference r:id="rId5"/>
  </externalReferences>
  <definedNames>
    <definedName name="bulan">#REF!</definedName>
    <definedName name="Email_Table">'Spek Produk'!$AR$17:$AS$23</definedName>
    <definedName name="Faktor_Multiplier">'Spek Produk'!$AR$3:$AS$15</definedName>
    <definedName name="Masa_Asuransi">#REF!</definedName>
    <definedName name="month" localSheetId="3">'[1]TARIP '!$L$4:$L$15</definedName>
    <definedName name="month">#REF!</definedName>
    <definedName name="Premium_Table">'Spek Produk'!$L$3:$AP$58</definedName>
    <definedName name="Premium_Table_Dec">'Spek Produk'!$L$61:$AP$116</definedName>
    <definedName name="Premium_Table_Flat">'Spek Produk'!$L$119:$AP$174</definedName>
    <definedName name="_xlnm.Print_Area" localSheetId="2">'Simulasi Premi 1 (Personal)'!$B$4:$J$68</definedName>
    <definedName name="tahun" localSheetId="3">'[1]TARIP '!$K$4:$K$24</definedName>
    <definedName name="tahun">#REF!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32" i="19" l="1"/>
  <c r="M8" i="19"/>
  <c r="N8" i="19"/>
  <c r="O8" i="19"/>
  <c r="P8" i="19"/>
  <c r="Q8" i="19"/>
  <c r="R8" i="19"/>
  <c r="S8" i="19"/>
  <c r="T8" i="19"/>
  <c r="M9" i="19"/>
  <c r="N9" i="19"/>
  <c r="O9" i="19"/>
  <c r="P9" i="19"/>
  <c r="Q9" i="19"/>
  <c r="R9" i="19"/>
  <c r="S9" i="19"/>
  <c r="T9" i="19"/>
  <c r="M10" i="19"/>
  <c r="N10" i="19"/>
  <c r="O10" i="19"/>
  <c r="P10" i="19"/>
  <c r="Q10" i="19"/>
  <c r="R10" i="19"/>
  <c r="S10" i="19"/>
  <c r="T10" i="19"/>
  <c r="M11" i="19"/>
  <c r="N11" i="19"/>
  <c r="O11" i="19"/>
  <c r="P11" i="19"/>
  <c r="Q11" i="19"/>
  <c r="R11" i="19"/>
  <c r="S11" i="19"/>
  <c r="T11" i="19"/>
  <c r="M12" i="19"/>
  <c r="N12" i="19"/>
  <c r="O12" i="19"/>
  <c r="P12" i="19"/>
  <c r="Q12" i="19"/>
  <c r="R12" i="19"/>
  <c r="S12" i="19"/>
  <c r="T12" i="19"/>
  <c r="M13" i="19"/>
  <c r="N13" i="19"/>
  <c r="O13" i="19"/>
  <c r="P13" i="19"/>
  <c r="Q13" i="19"/>
  <c r="R13" i="19"/>
  <c r="S13" i="19"/>
  <c r="T13" i="19"/>
  <c r="M14" i="19"/>
  <c r="N14" i="19"/>
  <c r="O14" i="19"/>
  <c r="P14" i="19"/>
  <c r="Q14" i="19"/>
  <c r="R14" i="19"/>
  <c r="S14" i="19"/>
  <c r="T14" i="19"/>
  <c r="M15" i="19"/>
  <c r="N15" i="19"/>
  <c r="O15" i="19"/>
  <c r="P15" i="19"/>
  <c r="Q15" i="19"/>
  <c r="R15" i="19"/>
  <c r="S15" i="19"/>
  <c r="T15" i="19"/>
  <c r="M16" i="19"/>
  <c r="N16" i="19"/>
  <c r="O16" i="19"/>
  <c r="P16" i="19"/>
  <c r="Q16" i="19"/>
  <c r="R16" i="19"/>
  <c r="S16" i="19"/>
  <c r="T16" i="19"/>
  <c r="M17" i="19"/>
  <c r="N17" i="19"/>
  <c r="O17" i="19"/>
  <c r="P17" i="19"/>
  <c r="Q17" i="19"/>
  <c r="R17" i="19"/>
  <c r="S17" i="19"/>
  <c r="T17" i="19"/>
  <c r="M18" i="19"/>
  <c r="N18" i="19"/>
  <c r="O18" i="19"/>
  <c r="P18" i="19"/>
  <c r="Q18" i="19"/>
  <c r="R18" i="19"/>
  <c r="S18" i="19"/>
  <c r="T18" i="19"/>
  <c r="M19" i="19"/>
  <c r="N19" i="19"/>
  <c r="O19" i="19"/>
  <c r="P19" i="19"/>
  <c r="Q19" i="19"/>
  <c r="R19" i="19"/>
  <c r="S19" i="19"/>
  <c r="T19" i="19"/>
  <c r="M20" i="19"/>
  <c r="N20" i="19"/>
  <c r="O20" i="19"/>
  <c r="P20" i="19"/>
  <c r="Q20" i="19"/>
  <c r="R20" i="19"/>
  <c r="S20" i="19"/>
  <c r="T20" i="19"/>
  <c r="M21" i="19"/>
  <c r="N21" i="19"/>
  <c r="O21" i="19"/>
  <c r="P21" i="19"/>
  <c r="Q21" i="19"/>
  <c r="R21" i="19"/>
  <c r="S21" i="19"/>
  <c r="T21" i="19"/>
  <c r="M22" i="19"/>
  <c r="N22" i="19"/>
  <c r="O22" i="19"/>
  <c r="P22" i="19"/>
  <c r="Q22" i="19"/>
  <c r="R22" i="19"/>
  <c r="S22" i="19"/>
  <c r="T22" i="19"/>
  <c r="M23" i="19"/>
  <c r="N23" i="19"/>
  <c r="O23" i="19"/>
  <c r="P23" i="19"/>
  <c r="Q23" i="19"/>
  <c r="R23" i="19"/>
  <c r="S23" i="19"/>
  <c r="T23" i="19"/>
  <c r="M24" i="19"/>
  <c r="N24" i="19"/>
  <c r="O24" i="19"/>
  <c r="P24" i="19"/>
  <c r="Q24" i="19"/>
  <c r="R24" i="19"/>
  <c r="S24" i="19"/>
  <c r="T24" i="19"/>
  <c r="M25" i="19"/>
  <c r="N25" i="19"/>
  <c r="O25" i="19"/>
  <c r="P25" i="19"/>
  <c r="Q25" i="19"/>
  <c r="R25" i="19"/>
  <c r="S25" i="19"/>
  <c r="T25" i="19"/>
  <c r="M26" i="19"/>
  <c r="N26" i="19"/>
  <c r="O26" i="19"/>
  <c r="P26" i="19"/>
  <c r="Q26" i="19"/>
  <c r="R26" i="19"/>
  <c r="S26" i="19"/>
  <c r="T26" i="19"/>
  <c r="M27" i="19"/>
  <c r="N27" i="19"/>
  <c r="O27" i="19"/>
  <c r="P27" i="19"/>
  <c r="Q27" i="19"/>
  <c r="R27" i="19"/>
  <c r="S27" i="19"/>
  <c r="T27" i="19"/>
  <c r="M28" i="19"/>
  <c r="N28" i="19"/>
  <c r="O28" i="19"/>
  <c r="P28" i="19"/>
  <c r="Q28" i="19"/>
  <c r="R28" i="19"/>
  <c r="S28" i="19"/>
  <c r="T28" i="19"/>
  <c r="M29" i="19"/>
  <c r="N29" i="19"/>
  <c r="O29" i="19"/>
  <c r="P29" i="19"/>
  <c r="Q29" i="19"/>
  <c r="R29" i="19"/>
  <c r="S29" i="19"/>
  <c r="T29" i="19"/>
  <c r="M30" i="19"/>
  <c r="N30" i="19"/>
  <c r="O30" i="19"/>
  <c r="P30" i="19"/>
  <c r="Q30" i="19"/>
  <c r="R30" i="19"/>
  <c r="S30" i="19"/>
  <c r="T30" i="19"/>
  <c r="M31" i="19"/>
  <c r="N31" i="19"/>
  <c r="O31" i="19"/>
  <c r="P31" i="19"/>
  <c r="Q31" i="19"/>
  <c r="R31" i="19"/>
  <c r="S31" i="19"/>
  <c r="T31" i="19"/>
  <c r="M32" i="19"/>
  <c r="N32" i="19"/>
  <c r="O32" i="19"/>
  <c r="P32" i="19"/>
  <c r="Q32" i="19"/>
  <c r="R32" i="19"/>
  <c r="S32" i="19"/>
  <c r="T32" i="19"/>
  <c r="M33" i="19"/>
  <c r="N33" i="19"/>
  <c r="O33" i="19"/>
  <c r="P33" i="19"/>
  <c r="Q33" i="19"/>
  <c r="R33" i="19"/>
  <c r="S33" i="19"/>
  <c r="T33" i="19"/>
  <c r="M34" i="19"/>
  <c r="N34" i="19"/>
  <c r="O34" i="19"/>
  <c r="P34" i="19"/>
  <c r="Q34" i="19"/>
  <c r="R34" i="19"/>
  <c r="S34" i="19"/>
  <c r="T34" i="19"/>
  <c r="M35" i="19"/>
  <c r="N35" i="19"/>
  <c r="O35" i="19"/>
  <c r="P35" i="19"/>
  <c r="Q35" i="19"/>
  <c r="R35" i="19"/>
  <c r="S35" i="19"/>
  <c r="T35" i="19"/>
  <c r="M36" i="19"/>
  <c r="N36" i="19"/>
  <c r="O36" i="19"/>
  <c r="P36" i="19"/>
  <c r="Q36" i="19"/>
  <c r="R36" i="19"/>
  <c r="S36" i="19"/>
  <c r="T36" i="19"/>
  <c r="M37" i="19"/>
  <c r="N37" i="19"/>
  <c r="O37" i="19"/>
  <c r="P37" i="19"/>
  <c r="Q37" i="19"/>
  <c r="R37" i="19"/>
  <c r="S37" i="19"/>
  <c r="T37" i="19"/>
  <c r="M38" i="19"/>
  <c r="N38" i="19"/>
  <c r="O38" i="19"/>
  <c r="P38" i="19"/>
  <c r="Q38" i="19"/>
  <c r="R38" i="19"/>
  <c r="S38" i="19"/>
  <c r="T38" i="19"/>
  <c r="M39" i="19"/>
  <c r="N39" i="19"/>
  <c r="O39" i="19"/>
  <c r="P39" i="19"/>
  <c r="Q39" i="19"/>
  <c r="R39" i="19"/>
  <c r="S39" i="19"/>
  <c r="T39" i="19"/>
  <c r="M40" i="19"/>
  <c r="N40" i="19"/>
  <c r="O40" i="19"/>
  <c r="P40" i="19"/>
  <c r="Q40" i="19"/>
  <c r="R40" i="19"/>
  <c r="S40" i="19"/>
  <c r="T40" i="19"/>
  <c r="M41" i="19"/>
  <c r="N41" i="19"/>
  <c r="O41" i="19"/>
  <c r="P41" i="19"/>
  <c r="Q41" i="19"/>
  <c r="R41" i="19"/>
  <c r="S41" i="19"/>
  <c r="T41" i="19"/>
  <c r="M42" i="19"/>
  <c r="N42" i="19"/>
  <c r="O42" i="19"/>
  <c r="P42" i="19"/>
  <c r="Q42" i="19"/>
  <c r="R42" i="19"/>
  <c r="S42" i="19"/>
  <c r="T42" i="19"/>
  <c r="M43" i="19"/>
  <c r="N43" i="19"/>
  <c r="O43" i="19"/>
  <c r="P43" i="19"/>
  <c r="Q43" i="19"/>
  <c r="R43" i="19"/>
  <c r="S43" i="19"/>
  <c r="T43" i="19"/>
  <c r="M44" i="19"/>
  <c r="N44" i="19"/>
  <c r="O44" i="19"/>
  <c r="P44" i="19"/>
  <c r="Q44" i="19"/>
  <c r="R44" i="19"/>
  <c r="S44" i="19"/>
  <c r="T44" i="19"/>
  <c r="M45" i="19"/>
  <c r="N45" i="19"/>
  <c r="O45" i="19"/>
  <c r="P45" i="19"/>
  <c r="Q45" i="19"/>
  <c r="R45" i="19"/>
  <c r="S45" i="19"/>
  <c r="T45" i="19"/>
  <c r="M46" i="19"/>
  <c r="N46" i="19"/>
  <c r="O46" i="19"/>
  <c r="P46" i="19"/>
  <c r="Q46" i="19"/>
  <c r="R46" i="19"/>
  <c r="S46" i="19"/>
  <c r="T46" i="19"/>
  <c r="M47" i="19"/>
  <c r="N47" i="19"/>
  <c r="O47" i="19"/>
  <c r="P47" i="19"/>
  <c r="Q47" i="19"/>
  <c r="R47" i="19"/>
  <c r="S47" i="19"/>
  <c r="T47" i="19"/>
  <c r="M48" i="19"/>
  <c r="N48" i="19"/>
  <c r="O48" i="19"/>
  <c r="P48" i="19"/>
  <c r="Q48" i="19"/>
  <c r="R48" i="19"/>
  <c r="S48" i="19"/>
  <c r="T48" i="19"/>
  <c r="H12" i="19"/>
  <c r="G35" i="19"/>
  <c r="I35" i="19"/>
  <c r="F30" i="19"/>
  <c r="F31" i="19"/>
  <c r="F33" i="19"/>
  <c r="H36" i="19"/>
  <c r="G34" i="19"/>
  <c r="I34" i="19"/>
  <c r="F6" i="19"/>
  <c r="Q11" i="20"/>
  <c r="V17" i="20" l="1"/>
  <c r="S17" i="20" s="1"/>
  <c r="V29" i="20"/>
  <c r="V30" i="20"/>
  <c r="V31" i="20"/>
  <c r="V41" i="20"/>
  <c r="V43" i="20"/>
  <c r="V34" i="20"/>
  <c r="V44" i="20"/>
  <c r="V18" i="20"/>
  <c r="V45" i="20"/>
  <c r="U45" i="20" s="1"/>
  <c r="V19" i="20"/>
  <c r="V46" i="20"/>
  <c r="T46" i="20" s="1"/>
  <c r="V13" i="20"/>
  <c r="V52" i="20"/>
  <c r="V51" i="20"/>
  <c r="V32" i="20"/>
  <c r="V16" i="20"/>
  <c r="V20" i="20"/>
  <c r="V21" i="20"/>
  <c r="V55" i="20"/>
  <c r="V28" i="20"/>
  <c r="V53" i="20"/>
  <c r="V33" i="20"/>
  <c r="V54" i="20"/>
  <c r="T54" i="20" s="1"/>
  <c r="V37" i="20"/>
  <c r="V11" i="20"/>
  <c r="V40" i="20"/>
  <c r="V22" i="20"/>
  <c r="V42" i="20"/>
  <c r="V25" i="20"/>
  <c r="V23" i="20"/>
  <c r="V35" i="20"/>
  <c r="V47" i="20"/>
  <c r="V12" i="20"/>
  <c r="V24" i="20"/>
  <c r="V36" i="20"/>
  <c r="U36" i="20" s="1"/>
  <c r="V48" i="20"/>
  <c r="V49" i="20"/>
  <c r="V14" i="20"/>
  <c r="V26" i="20"/>
  <c r="V38" i="20"/>
  <c r="V50" i="20"/>
  <c r="V15" i="20"/>
  <c r="V27" i="20"/>
  <c r="V39" i="20"/>
  <c r="T17" i="20" l="1"/>
  <c r="U17" i="20"/>
  <c r="S24" i="20"/>
  <c r="S33" i="20"/>
  <c r="U19" i="20"/>
  <c r="T12" i="20"/>
  <c r="U53" i="20"/>
  <c r="T45" i="20"/>
  <c r="U46" i="20"/>
  <c r="S36" i="20"/>
  <c r="T47" i="20"/>
  <c r="U28" i="20"/>
  <c r="T18" i="20"/>
  <c r="U27" i="20"/>
  <c r="U35" i="20"/>
  <c r="T55" i="20"/>
  <c r="U44" i="20"/>
  <c r="T13" i="20"/>
  <c r="U39" i="20"/>
  <c r="T15" i="20"/>
  <c r="T23" i="20"/>
  <c r="U21" i="20"/>
  <c r="U34" i="20"/>
  <c r="T50" i="20"/>
  <c r="S43" i="20"/>
  <c r="U37" i="20"/>
  <c r="U25" i="20"/>
  <c r="U38" i="20"/>
  <c r="S42" i="20"/>
  <c r="T16" i="20"/>
  <c r="T41" i="20"/>
  <c r="U26" i="20"/>
  <c r="S22" i="20"/>
  <c r="S32" i="20"/>
  <c r="U31" i="20"/>
  <c r="T48" i="20"/>
  <c r="T20" i="20"/>
  <c r="S46" i="20"/>
  <c r="U14" i="20"/>
  <c r="T40" i="20"/>
  <c r="S51" i="20"/>
  <c r="S30" i="20"/>
  <c r="S49" i="20"/>
  <c r="T11" i="20"/>
  <c r="U52" i="20"/>
  <c r="S29" i="20"/>
  <c r="S54" i="20"/>
  <c r="U29" i="20"/>
  <c r="T43" i="20"/>
  <c r="U43" i="20"/>
  <c r="T28" i="20"/>
  <c r="S45" i="20"/>
  <c r="T29" i="20"/>
  <c r="S31" i="20"/>
  <c r="S44" i="20"/>
  <c r="U13" i="20"/>
  <c r="T51" i="20"/>
  <c r="U30" i="20"/>
  <c r="U22" i="20"/>
  <c r="U51" i="20"/>
  <c r="U18" i="20"/>
  <c r="U41" i="20"/>
  <c r="T31" i="20"/>
  <c r="T30" i="20"/>
  <c r="S52" i="20"/>
  <c r="S34" i="20"/>
  <c r="S28" i="20"/>
  <c r="T52" i="20"/>
  <c r="T36" i="20"/>
  <c r="S13" i="20"/>
  <c r="U55" i="20"/>
  <c r="T34" i="20"/>
  <c r="T32" i="20"/>
  <c r="T42" i="20"/>
  <c r="S41" i="20"/>
  <c r="S25" i="20"/>
  <c r="S18" i="20"/>
  <c r="U32" i="20"/>
  <c r="S40" i="20"/>
  <c r="S21" i="20"/>
  <c r="T25" i="20"/>
  <c r="S19" i="20"/>
  <c r="U16" i="20"/>
  <c r="S38" i="20"/>
  <c r="T44" i="20"/>
  <c r="U20" i="20"/>
  <c r="S20" i="20"/>
  <c r="T21" i="20"/>
  <c r="U42" i="20"/>
  <c r="T38" i="20"/>
  <c r="T19" i="20"/>
  <c r="S16" i="20"/>
  <c r="S55" i="20"/>
  <c r="S37" i="20"/>
  <c r="U40" i="20"/>
  <c r="T22" i="20"/>
  <c r="S11" i="20"/>
  <c r="U11" i="20" s="1"/>
  <c r="U33" i="20"/>
  <c r="T33" i="20"/>
  <c r="U49" i="20"/>
  <c r="T53" i="20"/>
  <c r="T37" i="20"/>
  <c r="T49" i="20"/>
  <c r="U54" i="20"/>
  <c r="S53" i="20"/>
  <c r="U12" i="20"/>
  <c r="S26" i="20"/>
  <c r="S12" i="20"/>
  <c r="T26" i="20"/>
  <c r="S50" i="20"/>
  <c r="S47" i="20"/>
  <c r="U23" i="20"/>
  <c r="S15" i="20"/>
  <c r="U15" i="20"/>
  <c r="T14" i="20"/>
  <c r="U47" i="20"/>
  <c r="S23" i="20"/>
  <c r="U24" i="20"/>
  <c r="S48" i="20"/>
  <c r="T39" i="20"/>
  <c r="T27" i="20"/>
  <c r="T24" i="20"/>
  <c r="S27" i="20"/>
  <c r="S39" i="20"/>
  <c r="S35" i="20"/>
  <c r="T35" i="20"/>
  <c r="S14" i="20"/>
  <c r="U48" i="20"/>
  <c r="U50" i="20"/>
  <c r="AR43" i="19" a="1"/>
  <c r="AR42" i="19" a="1"/>
  <c r="AU39" i="19"/>
  <c r="AT40" i="19"/>
  <c r="AT39" i="19"/>
  <c r="I11" i="19"/>
  <c r="G11" i="19"/>
  <c r="I10" i="19"/>
  <c r="G10" i="19"/>
  <c r="F9" i="19"/>
  <c r="F8" i="19"/>
  <c r="F7" i="19"/>
  <c r="T7" i="17" l="1"/>
  <c r="T6" i="17"/>
  <c r="T5" i="17"/>
  <c r="T9" i="17"/>
  <c r="T8" i="17"/>
  <c r="K5" i="17"/>
  <c r="J5" i="17"/>
  <c r="L4" i="17"/>
  <c r="J6" i="17"/>
  <c r="L7" i="17"/>
  <c r="K6" i="17"/>
  <c r="K7" i="17"/>
  <c r="L6" i="17"/>
  <c r="J2" i="17"/>
  <c r="J7" i="17"/>
  <c r="K2" i="17"/>
  <c r="J8" i="17"/>
  <c r="L2" i="17"/>
  <c r="K8" i="17"/>
  <c r="J3" i="17"/>
  <c r="L8" i="17"/>
  <c r="K3" i="17"/>
  <c r="J4" i="17"/>
  <c r="K4" i="17"/>
  <c r="L5" i="17"/>
  <c r="L3" i="17"/>
  <c r="R35" i="20"/>
  <c r="R53" i="20"/>
  <c r="R12" i="20"/>
  <c r="R37" i="20"/>
  <c r="R20" i="20"/>
  <c r="R49" i="20"/>
  <c r="R48" i="20"/>
  <c r="R30" i="20"/>
  <c r="R19" i="20"/>
  <c r="R26" i="20"/>
  <c r="R43" i="20"/>
  <c r="R31" i="20"/>
  <c r="R11" i="20"/>
  <c r="R18" i="20"/>
  <c r="R50" i="20"/>
  <c r="R47" i="20"/>
  <c r="R36" i="20"/>
  <c r="R15" i="20"/>
  <c r="R39" i="20"/>
  <c r="R28" i="20"/>
  <c r="R34" i="20"/>
  <c r="R51" i="20"/>
  <c r="R32" i="20"/>
  <c r="R55" i="20"/>
  <c r="R29" i="20"/>
  <c r="R40" i="20"/>
  <c r="R24" i="20"/>
  <c r="R27" i="20"/>
  <c r="R41" i="20"/>
  <c r="R16" i="20"/>
  <c r="R44" i="20"/>
  <c r="R54" i="20"/>
  <c r="R38" i="20"/>
  <c r="R21" i="20"/>
  <c r="R22" i="20"/>
  <c r="R25" i="20"/>
  <c r="R23" i="20"/>
  <c r="F2" i="17"/>
  <c r="E2" i="17"/>
  <c r="H2" i="17"/>
  <c r="G2" i="17"/>
  <c r="D2" i="17"/>
  <c r="C2" i="17"/>
  <c r="B2" i="17"/>
  <c r="I2" i="17"/>
  <c r="R17" i="20"/>
  <c r="R13" i="20"/>
  <c r="R42" i="20"/>
  <c r="R33" i="20"/>
  <c r="R52" i="20"/>
  <c r="R14" i="20"/>
  <c r="R45" i="20"/>
  <c r="R46" i="20"/>
  <c r="I8" i="17"/>
  <c r="T4" i="20"/>
  <c r="B4" i="17"/>
  <c r="B5" i="17"/>
  <c r="C4" i="17"/>
  <c r="B6" i="17"/>
  <c r="C5" i="17"/>
  <c r="C6" i="17"/>
  <c r="B3" i="17"/>
  <c r="B7" i="17"/>
  <c r="C3" i="17"/>
  <c r="B8" i="17"/>
  <c r="C7" i="17"/>
  <c r="C8" i="17"/>
  <c r="D3" i="17"/>
  <c r="D4" i="17"/>
  <c r="D5" i="17"/>
  <c r="D6" i="17"/>
  <c r="D7" i="17"/>
  <c r="D8" i="17"/>
  <c r="E3" i="17"/>
  <c r="E4" i="17"/>
  <c r="E5" i="17"/>
  <c r="E6" i="17"/>
  <c r="E7" i="17"/>
  <c r="E8" i="17"/>
  <c r="F3" i="17"/>
  <c r="F4" i="17"/>
  <c r="F5" i="17"/>
  <c r="F6" i="17"/>
  <c r="F7" i="17"/>
  <c r="F8" i="17"/>
  <c r="G8" i="17"/>
  <c r="H3" i="17"/>
  <c r="H4" i="17"/>
  <c r="H5" i="17"/>
  <c r="H6" i="17"/>
  <c r="H7" i="17"/>
  <c r="H8" i="17"/>
  <c r="G3" i="17"/>
  <c r="G4" i="17"/>
  <c r="G5" i="17"/>
  <c r="G6" i="17"/>
  <c r="G7" i="17"/>
  <c r="I3" i="17"/>
  <c r="I4" i="17"/>
  <c r="I5" i="17"/>
  <c r="I6" i="17"/>
  <c r="I7" i="17"/>
  <c r="T4" i="17"/>
  <c r="D32" i="14"/>
  <c r="N4" i="20" l="1"/>
  <c r="M4" i="20" s="1"/>
  <c r="U4" i="20"/>
  <c r="S4" i="20"/>
  <c r="D38" i="14"/>
  <c r="D41" i="14"/>
  <c r="D14" i="14"/>
  <c r="C17" i="14"/>
  <c r="D49" i="14"/>
  <c r="D48" i="14"/>
  <c r="AP5" i="19" l="1"/>
  <c r="AO5" i="19"/>
  <c r="AN5" i="19"/>
  <c r="AM5" i="19"/>
  <c r="AL5" i="19"/>
  <c r="AK5" i="19"/>
  <c r="AJ5" i="19"/>
  <c r="AI5" i="19"/>
  <c r="AH5" i="19"/>
  <c r="AG5" i="19"/>
  <c r="AF5" i="19"/>
  <c r="AE5" i="19"/>
  <c r="AD5" i="19"/>
  <c r="AC5" i="19"/>
  <c r="AB5" i="19"/>
  <c r="AA5" i="19"/>
  <c r="Z5" i="19"/>
  <c r="Y5" i="19"/>
  <c r="X5" i="19"/>
  <c r="W5" i="19"/>
  <c r="V5" i="19"/>
  <c r="U5" i="19"/>
  <c r="T5" i="19"/>
  <c r="S5" i="19"/>
  <c r="R5" i="19"/>
  <c r="Q5" i="19"/>
  <c r="P5" i="19"/>
  <c r="O5" i="19"/>
  <c r="N5" i="19"/>
  <c r="M5" i="19"/>
  <c r="L121" i="19"/>
  <c r="L63" i="19"/>
  <c r="M6" i="19"/>
  <c r="AP58" i="19"/>
  <c r="AO58" i="19"/>
  <c r="AN58" i="19"/>
  <c r="AM58" i="19"/>
  <c r="AL58" i="19"/>
  <c r="AK58" i="19"/>
  <c r="AJ58" i="19"/>
  <c r="AI58" i="19"/>
  <c r="AH58" i="19"/>
  <c r="AG58" i="19"/>
  <c r="AF58" i="19"/>
  <c r="AE58" i="19"/>
  <c r="AD58" i="19"/>
  <c r="AC58" i="19"/>
  <c r="AB58" i="19"/>
  <c r="AA58" i="19"/>
  <c r="Z58" i="19"/>
  <c r="Y58" i="19"/>
  <c r="X58" i="19"/>
  <c r="W58" i="19"/>
  <c r="V58" i="19"/>
  <c r="U58" i="19"/>
  <c r="T58" i="19"/>
  <c r="S58" i="19"/>
  <c r="R58" i="19"/>
  <c r="Q58" i="19"/>
  <c r="P58" i="19"/>
  <c r="O58" i="19"/>
  <c r="N58" i="19"/>
  <c r="M58" i="19"/>
  <c r="AP57" i="19"/>
  <c r="AO57" i="19"/>
  <c r="AN57" i="19"/>
  <c r="AM57" i="19"/>
  <c r="AL57" i="19"/>
  <c r="AK57" i="19"/>
  <c r="AJ57" i="19"/>
  <c r="AI57" i="19"/>
  <c r="AH57" i="19"/>
  <c r="AG57" i="19"/>
  <c r="AF57" i="19"/>
  <c r="AE57" i="19"/>
  <c r="AD57" i="19"/>
  <c r="AC57" i="19"/>
  <c r="AB57" i="19"/>
  <c r="AA57" i="19"/>
  <c r="Z57" i="19"/>
  <c r="Y57" i="19"/>
  <c r="X57" i="19"/>
  <c r="W57" i="19"/>
  <c r="V57" i="19"/>
  <c r="U57" i="19"/>
  <c r="T57" i="19"/>
  <c r="S57" i="19"/>
  <c r="R57" i="19"/>
  <c r="Q57" i="19"/>
  <c r="P57" i="19"/>
  <c r="O57" i="19"/>
  <c r="N57" i="19"/>
  <c r="M57" i="19"/>
  <c r="AP56" i="19"/>
  <c r="AO56" i="19"/>
  <c r="AN56" i="19"/>
  <c r="AM56" i="19"/>
  <c r="AL56" i="19"/>
  <c r="AK56" i="19"/>
  <c r="AJ56" i="19"/>
  <c r="AI56" i="19"/>
  <c r="AH56" i="19"/>
  <c r="AG56" i="19"/>
  <c r="AF56" i="19"/>
  <c r="AE56" i="19"/>
  <c r="AD56" i="19"/>
  <c r="AC56" i="19"/>
  <c r="AB56" i="19"/>
  <c r="AA56" i="19"/>
  <c r="Z56" i="19"/>
  <c r="Y56" i="19"/>
  <c r="X56" i="19"/>
  <c r="W56" i="19"/>
  <c r="V56" i="19"/>
  <c r="U56" i="19"/>
  <c r="T56" i="19"/>
  <c r="S56" i="19"/>
  <c r="R56" i="19"/>
  <c r="Q56" i="19"/>
  <c r="P56" i="19"/>
  <c r="O56" i="19"/>
  <c r="N56" i="19"/>
  <c r="M56" i="19"/>
  <c r="AP55" i="19"/>
  <c r="AO55" i="19"/>
  <c r="AN55" i="19"/>
  <c r="AM55" i="19"/>
  <c r="AL55" i="19"/>
  <c r="AK55" i="19"/>
  <c r="AJ55" i="19"/>
  <c r="AI55" i="19"/>
  <c r="AH55" i="19"/>
  <c r="AG55" i="19"/>
  <c r="AF55" i="19"/>
  <c r="AE55" i="19"/>
  <c r="AD55" i="19"/>
  <c r="AC55" i="19"/>
  <c r="AB55" i="19"/>
  <c r="AA55" i="19"/>
  <c r="Z55" i="19"/>
  <c r="Y55" i="19"/>
  <c r="X55" i="19"/>
  <c r="W55" i="19"/>
  <c r="V55" i="19"/>
  <c r="U55" i="19"/>
  <c r="T55" i="19"/>
  <c r="S55" i="19"/>
  <c r="R55" i="19"/>
  <c r="Q55" i="19"/>
  <c r="P55" i="19"/>
  <c r="O55" i="19"/>
  <c r="N55" i="19"/>
  <c r="M55" i="19"/>
  <c r="AP54" i="19"/>
  <c r="AO54" i="19"/>
  <c r="AN54" i="19"/>
  <c r="AM54" i="19"/>
  <c r="AL54" i="19"/>
  <c r="AK54" i="19"/>
  <c r="AJ54" i="19"/>
  <c r="AI54" i="19"/>
  <c r="AH54" i="19"/>
  <c r="AG54" i="19"/>
  <c r="AF54" i="19"/>
  <c r="AE54" i="19"/>
  <c r="AD54" i="19"/>
  <c r="AC54" i="19"/>
  <c r="AB54" i="19"/>
  <c r="AA54" i="19"/>
  <c r="Z54" i="19"/>
  <c r="Y54" i="19"/>
  <c r="X54" i="19"/>
  <c r="W54" i="19"/>
  <c r="V54" i="19"/>
  <c r="U54" i="19"/>
  <c r="T54" i="19"/>
  <c r="S54" i="19"/>
  <c r="R54" i="19"/>
  <c r="Q54" i="19"/>
  <c r="P54" i="19"/>
  <c r="O54" i="19"/>
  <c r="N54" i="19"/>
  <c r="M54" i="19"/>
  <c r="AP53" i="19"/>
  <c r="AO53" i="19"/>
  <c r="AN53" i="19"/>
  <c r="AM53" i="19"/>
  <c r="AL53" i="19"/>
  <c r="AK53" i="19"/>
  <c r="AJ53" i="19"/>
  <c r="AI53" i="19"/>
  <c r="AH53" i="19"/>
  <c r="AG53" i="19"/>
  <c r="AF53" i="19"/>
  <c r="AE53" i="19"/>
  <c r="AD53" i="19"/>
  <c r="AC53" i="19"/>
  <c r="AB53" i="19"/>
  <c r="AA53" i="19"/>
  <c r="Z53" i="19"/>
  <c r="Y53" i="19"/>
  <c r="X53" i="19"/>
  <c r="W53" i="19"/>
  <c r="V53" i="19"/>
  <c r="U53" i="19"/>
  <c r="T53" i="19"/>
  <c r="S53" i="19"/>
  <c r="R53" i="19"/>
  <c r="Q53" i="19"/>
  <c r="P53" i="19"/>
  <c r="O53" i="19"/>
  <c r="N53" i="19"/>
  <c r="M53" i="19"/>
  <c r="AP52" i="19"/>
  <c r="AO52" i="19"/>
  <c r="AN52" i="19"/>
  <c r="AM52" i="19"/>
  <c r="AL52" i="19"/>
  <c r="AK52" i="19"/>
  <c r="AJ52" i="19"/>
  <c r="AI52" i="19"/>
  <c r="AH52" i="19"/>
  <c r="AG52" i="19"/>
  <c r="AF52" i="19"/>
  <c r="AE52" i="19"/>
  <c r="AD52" i="19"/>
  <c r="AC52" i="19"/>
  <c r="AB52" i="19"/>
  <c r="AA52" i="19"/>
  <c r="Z52" i="19"/>
  <c r="Y52" i="19"/>
  <c r="X52" i="19"/>
  <c r="W52" i="19"/>
  <c r="V52" i="19"/>
  <c r="U52" i="19"/>
  <c r="T52" i="19"/>
  <c r="S52" i="19"/>
  <c r="R52" i="19"/>
  <c r="Q52" i="19"/>
  <c r="P52" i="19"/>
  <c r="O52" i="19"/>
  <c r="N52" i="19"/>
  <c r="M52" i="19"/>
  <c r="AP51" i="19"/>
  <c r="AO51" i="19"/>
  <c r="AN51" i="19"/>
  <c r="AM51" i="19"/>
  <c r="AL51" i="19"/>
  <c r="AK51" i="19"/>
  <c r="AJ51" i="19"/>
  <c r="AI51" i="19"/>
  <c r="AH51" i="19"/>
  <c r="AG51" i="19"/>
  <c r="AF51" i="19"/>
  <c r="AE51" i="19"/>
  <c r="AD51" i="19"/>
  <c r="AC51" i="19"/>
  <c r="AB51" i="19"/>
  <c r="AA51" i="19"/>
  <c r="Z51" i="19"/>
  <c r="Y51" i="19"/>
  <c r="X51" i="19"/>
  <c r="W51" i="19"/>
  <c r="V51" i="19"/>
  <c r="U51" i="19"/>
  <c r="T51" i="19"/>
  <c r="S51" i="19"/>
  <c r="R51" i="19"/>
  <c r="Q51" i="19"/>
  <c r="P51" i="19"/>
  <c r="O51" i="19"/>
  <c r="N51" i="19"/>
  <c r="M51" i="19"/>
  <c r="AP50" i="19"/>
  <c r="AO50" i="19"/>
  <c r="AN50" i="19"/>
  <c r="AM50" i="19"/>
  <c r="AL50" i="19"/>
  <c r="AK50" i="19"/>
  <c r="AJ50" i="19"/>
  <c r="AI50" i="19"/>
  <c r="AH50" i="19"/>
  <c r="AG50" i="19"/>
  <c r="AF50" i="19"/>
  <c r="AE50" i="19"/>
  <c r="AD50" i="19"/>
  <c r="AC50" i="19"/>
  <c r="AB50" i="19"/>
  <c r="AA50" i="19"/>
  <c r="Z50" i="19"/>
  <c r="Y50" i="19"/>
  <c r="X50" i="19"/>
  <c r="W50" i="19"/>
  <c r="V50" i="19"/>
  <c r="U50" i="19"/>
  <c r="T50" i="19"/>
  <c r="S50" i="19"/>
  <c r="R50" i="19"/>
  <c r="Q50" i="19"/>
  <c r="P50" i="19"/>
  <c r="O50" i="19"/>
  <c r="N50" i="19"/>
  <c r="M50" i="19"/>
  <c r="AP49" i="19"/>
  <c r="AO49" i="19"/>
  <c r="AN49" i="19"/>
  <c r="AM49" i="19"/>
  <c r="AL49" i="19"/>
  <c r="AK49" i="19"/>
  <c r="AJ49" i="19"/>
  <c r="AI49" i="19"/>
  <c r="AH49" i="19"/>
  <c r="AG49" i="19"/>
  <c r="AF49" i="19"/>
  <c r="AE49" i="19"/>
  <c r="AD49" i="19"/>
  <c r="AC49" i="19"/>
  <c r="AB49" i="19"/>
  <c r="AA49" i="19"/>
  <c r="Z49" i="19"/>
  <c r="Y49" i="19"/>
  <c r="X49" i="19"/>
  <c r="W49" i="19"/>
  <c r="V49" i="19"/>
  <c r="U49" i="19"/>
  <c r="T49" i="19"/>
  <c r="S49" i="19"/>
  <c r="R49" i="19"/>
  <c r="Q49" i="19"/>
  <c r="P49" i="19"/>
  <c r="O49" i="19"/>
  <c r="N49" i="19"/>
  <c r="M49" i="19"/>
  <c r="AP48" i="19"/>
  <c r="AO48" i="19"/>
  <c r="AN48" i="19"/>
  <c r="AM48" i="19"/>
  <c r="AL48" i="19"/>
  <c r="AK48" i="19"/>
  <c r="AJ48" i="19"/>
  <c r="AI48" i="19"/>
  <c r="AH48" i="19"/>
  <c r="AG48" i="19"/>
  <c r="AF48" i="19"/>
  <c r="AE48" i="19"/>
  <c r="AD48" i="19"/>
  <c r="AC48" i="19"/>
  <c r="AB48" i="19"/>
  <c r="AA48" i="19"/>
  <c r="Z48" i="19"/>
  <c r="Y48" i="19"/>
  <c r="X48" i="19"/>
  <c r="W48" i="19"/>
  <c r="V48" i="19"/>
  <c r="U48" i="19"/>
  <c r="AP47" i="19"/>
  <c r="AO47" i="19"/>
  <c r="AN47" i="19"/>
  <c r="AM47" i="19"/>
  <c r="AL47" i="19"/>
  <c r="AK47" i="19"/>
  <c r="AJ47" i="19"/>
  <c r="AI47" i="19"/>
  <c r="AH47" i="19"/>
  <c r="AG47" i="19"/>
  <c r="AF47" i="19"/>
  <c r="AE47" i="19"/>
  <c r="AD47" i="19"/>
  <c r="AC47" i="19"/>
  <c r="AB47" i="19"/>
  <c r="AA47" i="19"/>
  <c r="Z47" i="19"/>
  <c r="Y47" i="19"/>
  <c r="X47" i="19"/>
  <c r="W47" i="19"/>
  <c r="V47" i="19"/>
  <c r="U47" i="19"/>
  <c r="AP46" i="19"/>
  <c r="AO46" i="19"/>
  <c r="AN46" i="19"/>
  <c r="AM46" i="19"/>
  <c r="AL46" i="19"/>
  <c r="AK46" i="19"/>
  <c r="AJ46" i="19"/>
  <c r="AI46" i="19"/>
  <c r="AH46" i="19"/>
  <c r="AG46" i="19"/>
  <c r="AF46" i="19"/>
  <c r="AE46" i="19"/>
  <c r="AD46" i="19"/>
  <c r="AC46" i="19"/>
  <c r="AB46" i="19"/>
  <c r="AA46" i="19"/>
  <c r="Z46" i="19"/>
  <c r="Y46" i="19"/>
  <c r="X46" i="19"/>
  <c r="W46" i="19"/>
  <c r="V46" i="19"/>
  <c r="U46" i="19"/>
  <c r="AP45" i="19"/>
  <c r="AO45" i="19"/>
  <c r="AN45" i="19"/>
  <c r="AM45" i="19"/>
  <c r="AL45" i="19"/>
  <c r="AK45" i="19"/>
  <c r="AJ45" i="19"/>
  <c r="AI45" i="19"/>
  <c r="AH45" i="19"/>
  <c r="AG45" i="19"/>
  <c r="AF45" i="19"/>
  <c r="AE45" i="19"/>
  <c r="AD45" i="19"/>
  <c r="AC45" i="19"/>
  <c r="AB45" i="19"/>
  <c r="AA45" i="19"/>
  <c r="Z45" i="19"/>
  <c r="Y45" i="19"/>
  <c r="X45" i="19"/>
  <c r="W45" i="19"/>
  <c r="V45" i="19"/>
  <c r="U45" i="19"/>
  <c r="AP44" i="19"/>
  <c r="AO44" i="19"/>
  <c r="AN44" i="19"/>
  <c r="AM44" i="19"/>
  <c r="AL44" i="19"/>
  <c r="AK44" i="19"/>
  <c r="AJ44" i="19"/>
  <c r="AI44" i="19"/>
  <c r="AH44" i="19"/>
  <c r="AG44" i="19"/>
  <c r="AF44" i="19"/>
  <c r="AE44" i="19"/>
  <c r="AD44" i="19"/>
  <c r="AC44" i="19"/>
  <c r="AB44" i="19"/>
  <c r="AA44" i="19"/>
  <c r="Z44" i="19"/>
  <c r="Y44" i="19"/>
  <c r="X44" i="19"/>
  <c r="W44" i="19"/>
  <c r="V44" i="19"/>
  <c r="U44" i="19"/>
  <c r="AP43" i="19"/>
  <c r="AO43" i="19"/>
  <c r="AN43" i="19"/>
  <c r="AM43" i="19"/>
  <c r="AL43" i="19"/>
  <c r="AK43" i="19"/>
  <c r="AJ43" i="19"/>
  <c r="AI43" i="19"/>
  <c r="AH43" i="19"/>
  <c r="AG43" i="19"/>
  <c r="AF43" i="19"/>
  <c r="AE43" i="19"/>
  <c r="AD43" i="19"/>
  <c r="AC43" i="19"/>
  <c r="AB43" i="19"/>
  <c r="AA43" i="19"/>
  <c r="Z43" i="19"/>
  <c r="Y43" i="19"/>
  <c r="X43" i="19"/>
  <c r="W43" i="19"/>
  <c r="V43" i="19"/>
  <c r="U43" i="19"/>
  <c r="AP42" i="19"/>
  <c r="AO42" i="19"/>
  <c r="AN42" i="19"/>
  <c r="AM42" i="19"/>
  <c r="AL42" i="19"/>
  <c r="AK42" i="19"/>
  <c r="AJ42" i="19"/>
  <c r="AI42" i="19"/>
  <c r="AH42" i="19"/>
  <c r="AG42" i="19"/>
  <c r="AF42" i="19"/>
  <c r="AE42" i="19"/>
  <c r="AD42" i="19"/>
  <c r="AC42" i="19"/>
  <c r="AB42" i="19"/>
  <c r="AA42" i="19"/>
  <c r="Z42" i="19"/>
  <c r="Y42" i="19"/>
  <c r="X42" i="19"/>
  <c r="W42" i="19"/>
  <c r="V42" i="19"/>
  <c r="U42" i="19"/>
  <c r="AP41" i="19"/>
  <c r="AO41" i="19"/>
  <c r="AN41" i="19"/>
  <c r="AM41" i="19"/>
  <c r="AL41" i="19"/>
  <c r="AK41" i="19"/>
  <c r="AJ41" i="19"/>
  <c r="AI41" i="19"/>
  <c r="AH41" i="19"/>
  <c r="AG41" i="19"/>
  <c r="AF41" i="19"/>
  <c r="AE41" i="19"/>
  <c r="AD41" i="19"/>
  <c r="AC41" i="19"/>
  <c r="AB41" i="19"/>
  <c r="AA41" i="19"/>
  <c r="Z41" i="19"/>
  <c r="Y41" i="19"/>
  <c r="X41" i="19"/>
  <c r="W41" i="19"/>
  <c r="V41" i="19"/>
  <c r="U41" i="19"/>
  <c r="AP40" i="19"/>
  <c r="AO40" i="19"/>
  <c r="AN40" i="19"/>
  <c r="AM40" i="19"/>
  <c r="AL40" i="19"/>
  <c r="AK40" i="19"/>
  <c r="AJ40" i="19"/>
  <c r="AI40" i="19"/>
  <c r="AH40" i="19"/>
  <c r="AG40" i="19"/>
  <c r="AF40" i="19"/>
  <c r="AE40" i="19"/>
  <c r="AD40" i="19"/>
  <c r="AC40" i="19"/>
  <c r="AB40" i="19"/>
  <c r="AA40" i="19"/>
  <c r="Z40" i="19"/>
  <c r="Y40" i="19"/>
  <c r="X40" i="19"/>
  <c r="W40" i="19"/>
  <c r="V40" i="19"/>
  <c r="U40" i="19"/>
  <c r="AP39" i="19"/>
  <c r="AO39" i="19"/>
  <c r="AN39" i="19"/>
  <c r="AM39" i="19"/>
  <c r="AL39" i="19"/>
  <c r="AK39" i="19"/>
  <c r="AJ39" i="19"/>
  <c r="AI39" i="19"/>
  <c r="AH39" i="19"/>
  <c r="AG39" i="19"/>
  <c r="AF39" i="19"/>
  <c r="AE39" i="19"/>
  <c r="AD39" i="19"/>
  <c r="AC39" i="19"/>
  <c r="AB39" i="19"/>
  <c r="AA39" i="19"/>
  <c r="Z39" i="19"/>
  <c r="Y39" i="19"/>
  <c r="X39" i="19"/>
  <c r="W39" i="19"/>
  <c r="V39" i="19"/>
  <c r="U39" i="19"/>
  <c r="AP38" i="19"/>
  <c r="AO38" i="19"/>
  <c r="AN38" i="19"/>
  <c r="AM38" i="19"/>
  <c r="AL38" i="19"/>
  <c r="AK38" i="19"/>
  <c r="AJ38" i="19"/>
  <c r="AI38" i="19"/>
  <c r="AH38" i="19"/>
  <c r="AG38" i="19"/>
  <c r="AF38" i="19"/>
  <c r="AE38" i="19"/>
  <c r="AD38" i="19"/>
  <c r="AC38" i="19"/>
  <c r="AB38" i="19"/>
  <c r="AA38" i="19"/>
  <c r="Z38" i="19"/>
  <c r="Y38" i="19"/>
  <c r="X38" i="19"/>
  <c r="W38" i="19"/>
  <c r="V38" i="19"/>
  <c r="U38" i="19"/>
  <c r="AP37" i="19"/>
  <c r="AO37" i="19"/>
  <c r="AN37" i="19"/>
  <c r="AM37" i="19"/>
  <c r="AL37" i="19"/>
  <c r="AK37" i="19"/>
  <c r="AJ37" i="19"/>
  <c r="AI37" i="19"/>
  <c r="AH37" i="19"/>
  <c r="AG37" i="19"/>
  <c r="AF37" i="19"/>
  <c r="AE37" i="19"/>
  <c r="AD37" i="19"/>
  <c r="AC37" i="19"/>
  <c r="AB37" i="19"/>
  <c r="AA37" i="19"/>
  <c r="Z37" i="19"/>
  <c r="Y37" i="19"/>
  <c r="X37" i="19"/>
  <c r="W37" i="19"/>
  <c r="V37" i="19"/>
  <c r="U37" i="19"/>
  <c r="AP36" i="19"/>
  <c r="AO36" i="19"/>
  <c r="AN36" i="19"/>
  <c r="AM36" i="19"/>
  <c r="AL36" i="19"/>
  <c r="AK36" i="19"/>
  <c r="AJ36" i="19"/>
  <c r="AI36" i="19"/>
  <c r="AH36" i="19"/>
  <c r="AG36" i="19"/>
  <c r="AF36" i="19"/>
  <c r="AE36" i="19"/>
  <c r="AD36" i="19"/>
  <c r="AC36" i="19"/>
  <c r="AB36" i="19"/>
  <c r="AA36" i="19"/>
  <c r="Z36" i="19"/>
  <c r="Y36" i="19"/>
  <c r="X36" i="19"/>
  <c r="W36" i="19"/>
  <c r="V36" i="19"/>
  <c r="U36" i="19"/>
  <c r="AP35" i="19"/>
  <c r="AO35" i="19"/>
  <c r="AN35" i="19"/>
  <c r="AM35" i="19"/>
  <c r="AL35" i="19"/>
  <c r="AK35" i="19"/>
  <c r="AJ35" i="19"/>
  <c r="AI35" i="19"/>
  <c r="AH35" i="19"/>
  <c r="AG35" i="19"/>
  <c r="AF35" i="19"/>
  <c r="AE35" i="19"/>
  <c r="AD35" i="19"/>
  <c r="AC35" i="19"/>
  <c r="AB35" i="19"/>
  <c r="AA35" i="19"/>
  <c r="Z35" i="19"/>
  <c r="Y35" i="19"/>
  <c r="X35" i="19"/>
  <c r="W35" i="19"/>
  <c r="V35" i="19"/>
  <c r="U35" i="19"/>
  <c r="AP34" i="19"/>
  <c r="AO34" i="19"/>
  <c r="AN34" i="19"/>
  <c r="AM34" i="19"/>
  <c r="AL34" i="19"/>
  <c r="AK34" i="19"/>
  <c r="AJ34" i="19"/>
  <c r="AI34" i="19"/>
  <c r="AH34" i="19"/>
  <c r="AG34" i="19"/>
  <c r="AF34" i="19"/>
  <c r="AE34" i="19"/>
  <c r="AD34" i="19"/>
  <c r="AC34" i="19"/>
  <c r="AB34" i="19"/>
  <c r="AA34" i="19"/>
  <c r="Z34" i="19"/>
  <c r="Y34" i="19"/>
  <c r="X34" i="19"/>
  <c r="W34" i="19"/>
  <c r="V34" i="19"/>
  <c r="U34" i="19"/>
  <c r="AP33" i="19"/>
  <c r="AO33" i="19"/>
  <c r="AN33" i="19"/>
  <c r="AM33" i="19"/>
  <c r="AL33" i="19"/>
  <c r="AK33" i="19"/>
  <c r="AJ33" i="19"/>
  <c r="AI33" i="19"/>
  <c r="AH33" i="19"/>
  <c r="AG33" i="19"/>
  <c r="AF33" i="19"/>
  <c r="AE33" i="19"/>
  <c r="AD33" i="19"/>
  <c r="AC33" i="19"/>
  <c r="AB33" i="19"/>
  <c r="AA33" i="19"/>
  <c r="Z33" i="19"/>
  <c r="Y33" i="19"/>
  <c r="X33" i="19"/>
  <c r="W33" i="19"/>
  <c r="V33" i="19"/>
  <c r="U33" i="19"/>
  <c r="AP32" i="19"/>
  <c r="AO32" i="19"/>
  <c r="AN32" i="19"/>
  <c r="AM32" i="19"/>
  <c r="AL32" i="19"/>
  <c r="AK32" i="19"/>
  <c r="AJ32" i="19"/>
  <c r="AI32" i="19"/>
  <c r="AH32" i="19"/>
  <c r="AG32" i="19"/>
  <c r="AF32" i="19"/>
  <c r="AE32" i="19"/>
  <c r="AD32" i="19"/>
  <c r="AC32" i="19"/>
  <c r="AB32" i="19"/>
  <c r="AA32" i="19"/>
  <c r="Z32" i="19"/>
  <c r="Y32" i="19"/>
  <c r="X32" i="19"/>
  <c r="W32" i="19"/>
  <c r="V32" i="19"/>
  <c r="U32" i="19"/>
  <c r="AP31" i="19"/>
  <c r="AO31" i="19"/>
  <c r="AN31" i="19"/>
  <c r="AM31" i="19"/>
  <c r="AL31" i="19"/>
  <c r="AK31" i="19"/>
  <c r="AJ31" i="19"/>
  <c r="AI31" i="19"/>
  <c r="AH31" i="19"/>
  <c r="AG31" i="19"/>
  <c r="AF31" i="19"/>
  <c r="AE31" i="19"/>
  <c r="AD31" i="19"/>
  <c r="AC31" i="19"/>
  <c r="AB31" i="19"/>
  <c r="AA31" i="19"/>
  <c r="Z31" i="19"/>
  <c r="Y31" i="19"/>
  <c r="X31" i="19"/>
  <c r="W31" i="19"/>
  <c r="V31" i="19"/>
  <c r="U31" i="19"/>
  <c r="AP30" i="19"/>
  <c r="AO30" i="19"/>
  <c r="AN30" i="19"/>
  <c r="AM30" i="19"/>
  <c r="AL30" i="19"/>
  <c r="AK30" i="19"/>
  <c r="AJ30" i="19"/>
  <c r="AI30" i="19"/>
  <c r="AH30" i="19"/>
  <c r="AG30" i="19"/>
  <c r="AF30" i="19"/>
  <c r="AE30" i="19"/>
  <c r="AD30" i="19"/>
  <c r="AC30" i="19"/>
  <c r="AB30" i="19"/>
  <c r="AA30" i="19"/>
  <c r="Z30" i="19"/>
  <c r="Y30" i="19"/>
  <c r="X30" i="19"/>
  <c r="W30" i="19"/>
  <c r="V30" i="19"/>
  <c r="U30" i="19"/>
  <c r="AP29" i="19"/>
  <c r="AO29" i="19"/>
  <c r="AN29" i="19"/>
  <c r="AM29" i="19"/>
  <c r="AL29" i="19"/>
  <c r="AK29" i="19"/>
  <c r="AJ29" i="19"/>
  <c r="AI29" i="19"/>
  <c r="AH29" i="19"/>
  <c r="AG29" i="19"/>
  <c r="AF29" i="19"/>
  <c r="AE29" i="19"/>
  <c r="AD29" i="19"/>
  <c r="AC29" i="19"/>
  <c r="AB29" i="19"/>
  <c r="AA29" i="19"/>
  <c r="Z29" i="19"/>
  <c r="Y29" i="19"/>
  <c r="X29" i="19"/>
  <c r="W29" i="19"/>
  <c r="V29" i="19"/>
  <c r="U29" i="19"/>
  <c r="AP28" i="19"/>
  <c r="AO28" i="19"/>
  <c r="AN28" i="19"/>
  <c r="AM28" i="19"/>
  <c r="AL28" i="19"/>
  <c r="AK28" i="19"/>
  <c r="AJ28" i="19"/>
  <c r="AI28" i="19"/>
  <c r="AH28" i="19"/>
  <c r="AG28" i="19"/>
  <c r="AF28" i="19"/>
  <c r="AE28" i="19"/>
  <c r="AD28" i="19"/>
  <c r="AC28" i="19"/>
  <c r="AB28" i="19"/>
  <c r="AA28" i="19"/>
  <c r="Z28" i="19"/>
  <c r="Y28" i="19"/>
  <c r="X28" i="19"/>
  <c r="W28" i="19"/>
  <c r="V28" i="19"/>
  <c r="U28" i="19"/>
  <c r="AP27" i="19"/>
  <c r="AO27" i="19"/>
  <c r="AN27" i="19"/>
  <c r="AM27" i="19"/>
  <c r="AL27" i="19"/>
  <c r="AK27" i="19"/>
  <c r="AJ27" i="19"/>
  <c r="AI27" i="19"/>
  <c r="AH27" i="19"/>
  <c r="AG27" i="19"/>
  <c r="AF27" i="19"/>
  <c r="AE27" i="19"/>
  <c r="AD27" i="19"/>
  <c r="AC27" i="19"/>
  <c r="AB27" i="19"/>
  <c r="AA27" i="19"/>
  <c r="Z27" i="19"/>
  <c r="Y27" i="19"/>
  <c r="X27" i="19"/>
  <c r="W27" i="19"/>
  <c r="V27" i="19"/>
  <c r="U27" i="19"/>
  <c r="AP26" i="19"/>
  <c r="AO26" i="19"/>
  <c r="AN26" i="19"/>
  <c r="AM26" i="19"/>
  <c r="AL26" i="19"/>
  <c r="AK26" i="19"/>
  <c r="AJ26" i="19"/>
  <c r="AI26" i="19"/>
  <c r="AH26" i="19"/>
  <c r="AG26" i="19"/>
  <c r="AF26" i="19"/>
  <c r="AE26" i="19"/>
  <c r="AD26" i="19"/>
  <c r="AC26" i="19"/>
  <c r="AB26" i="19"/>
  <c r="AA26" i="19"/>
  <c r="Z26" i="19"/>
  <c r="Y26" i="19"/>
  <c r="X26" i="19"/>
  <c r="W26" i="19"/>
  <c r="V26" i="19"/>
  <c r="U26" i="19"/>
  <c r="AP25" i="19"/>
  <c r="AO25" i="19"/>
  <c r="AN25" i="19"/>
  <c r="AM25" i="19"/>
  <c r="AL25" i="19"/>
  <c r="AK25" i="19"/>
  <c r="AJ25" i="19"/>
  <c r="AI25" i="19"/>
  <c r="AH25" i="19"/>
  <c r="AG25" i="19"/>
  <c r="AF25" i="19"/>
  <c r="AE25" i="19"/>
  <c r="AD25" i="19"/>
  <c r="AC25" i="19"/>
  <c r="AB25" i="19"/>
  <c r="AA25" i="19"/>
  <c r="Z25" i="19"/>
  <c r="Y25" i="19"/>
  <c r="X25" i="19"/>
  <c r="W25" i="19"/>
  <c r="V25" i="19"/>
  <c r="U25" i="19"/>
  <c r="AP24" i="19"/>
  <c r="AO24" i="19"/>
  <c r="AN24" i="19"/>
  <c r="AM24" i="19"/>
  <c r="AL24" i="19"/>
  <c r="AK24" i="19"/>
  <c r="AJ24" i="19"/>
  <c r="AI24" i="19"/>
  <c r="AH24" i="19"/>
  <c r="AG24" i="19"/>
  <c r="AF24" i="19"/>
  <c r="AE24" i="19"/>
  <c r="AD24" i="19"/>
  <c r="AC24" i="19"/>
  <c r="AB24" i="19"/>
  <c r="AA24" i="19"/>
  <c r="Z24" i="19"/>
  <c r="Y24" i="19"/>
  <c r="X24" i="19"/>
  <c r="W24" i="19"/>
  <c r="V24" i="19"/>
  <c r="U24" i="19"/>
  <c r="AP23" i="19"/>
  <c r="AO23" i="19"/>
  <c r="AN23" i="19"/>
  <c r="AM23" i="19"/>
  <c r="AL23" i="19"/>
  <c r="AK23" i="19"/>
  <c r="AJ23" i="19"/>
  <c r="AI23" i="19"/>
  <c r="AH23" i="19"/>
  <c r="AG23" i="19"/>
  <c r="AF23" i="19"/>
  <c r="AE23" i="19"/>
  <c r="AD23" i="19"/>
  <c r="AC23" i="19"/>
  <c r="AB23" i="19"/>
  <c r="AA23" i="19"/>
  <c r="Z23" i="19"/>
  <c r="Y23" i="19"/>
  <c r="X23" i="19"/>
  <c r="W23" i="19"/>
  <c r="V23" i="19"/>
  <c r="U23" i="19"/>
  <c r="AP22" i="19"/>
  <c r="AO22" i="19"/>
  <c r="AN22" i="19"/>
  <c r="AM22" i="19"/>
  <c r="AL22" i="19"/>
  <c r="AK22" i="19"/>
  <c r="AJ22" i="19"/>
  <c r="AI22" i="19"/>
  <c r="AH22" i="19"/>
  <c r="AG22" i="19"/>
  <c r="AF22" i="19"/>
  <c r="AE22" i="19"/>
  <c r="AD22" i="19"/>
  <c r="AC22" i="19"/>
  <c r="AB22" i="19"/>
  <c r="AA22" i="19"/>
  <c r="Z22" i="19"/>
  <c r="Y22" i="19"/>
  <c r="X22" i="19"/>
  <c r="W22" i="19"/>
  <c r="V22" i="19"/>
  <c r="U22" i="19"/>
  <c r="AP21" i="19"/>
  <c r="AO21" i="19"/>
  <c r="AN21" i="19"/>
  <c r="AM21" i="19"/>
  <c r="AL21" i="19"/>
  <c r="AK21" i="19"/>
  <c r="AJ21" i="19"/>
  <c r="AI21" i="19"/>
  <c r="AH21" i="19"/>
  <c r="AG21" i="19"/>
  <c r="AF21" i="19"/>
  <c r="AE21" i="19"/>
  <c r="AD21" i="19"/>
  <c r="AC21" i="19"/>
  <c r="AB21" i="19"/>
  <c r="AA21" i="19"/>
  <c r="Z21" i="19"/>
  <c r="Y21" i="19"/>
  <c r="X21" i="19"/>
  <c r="W21" i="19"/>
  <c r="V21" i="19"/>
  <c r="U21" i="19"/>
  <c r="AP20" i="19"/>
  <c r="AO20" i="19"/>
  <c r="AN20" i="19"/>
  <c r="AM20" i="19"/>
  <c r="AL20" i="19"/>
  <c r="AK20" i="19"/>
  <c r="AJ20" i="19"/>
  <c r="AI20" i="19"/>
  <c r="AH20" i="19"/>
  <c r="AG20" i="19"/>
  <c r="AF20" i="19"/>
  <c r="AE20" i="19"/>
  <c r="AD20" i="19"/>
  <c r="AC20" i="19"/>
  <c r="AB20" i="19"/>
  <c r="AA20" i="19"/>
  <c r="Z20" i="19"/>
  <c r="Y20" i="19"/>
  <c r="X20" i="19"/>
  <c r="W20" i="19"/>
  <c r="V20" i="19"/>
  <c r="U20" i="19"/>
  <c r="AP19" i="19"/>
  <c r="AO19" i="19"/>
  <c r="AN19" i="19"/>
  <c r="AM19" i="19"/>
  <c r="AL19" i="19"/>
  <c r="AK19" i="19"/>
  <c r="AJ19" i="19"/>
  <c r="AI19" i="19"/>
  <c r="AH19" i="19"/>
  <c r="AG19" i="19"/>
  <c r="AF19" i="19"/>
  <c r="AE19" i="19"/>
  <c r="AD19" i="19"/>
  <c r="AC19" i="19"/>
  <c r="AB19" i="19"/>
  <c r="AA19" i="19"/>
  <c r="Z19" i="19"/>
  <c r="Y19" i="19"/>
  <c r="X19" i="19"/>
  <c r="W19" i="19"/>
  <c r="V19" i="19"/>
  <c r="U19" i="19"/>
  <c r="AP18" i="19"/>
  <c r="AO18" i="19"/>
  <c r="AN18" i="19"/>
  <c r="AM18" i="19"/>
  <c r="AL18" i="19"/>
  <c r="AK18" i="19"/>
  <c r="AJ18" i="19"/>
  <c r="AI18" i="19"/>
  <c r="AH18" i="19"/>
  <c r="AG18" i="19"/>
  <c r="AF18" i="19"/>
  <c r="AE18" i="19"/>
  <c r="AD18" i="19"/>
  <c r="AC18" i="19"/>
  <c r="AB18" i="19"/>
  <c r="AA18" i="19"/>
  <c r="Z18" i="19"/>
  <c r="Y18" i="19"/>
  <c r="X18" i="19"/>
  <c r="W18" i="19"/>
  <c r="V18" i="19"/>
  <c r="U18" i="19"/>
  <c r="AP17" i="19"/>
  <c r="AO17" i="19"/>
  <c r="AN17" i="19"/>
  <c r="AM17" i="19"/>
  <c r="AL17" i="19"/>
  <c r="AK17" i="19"/>
  <c r="AJ17" i="19"/>
  <c r="AI17" i="19"/>
  <c r="AH17" i="19"/>
  <c r="AG17" i="19"/>
  <c r="AF17" i="19"/>
  <c r="AE17" i="19"/>
  <c r="AD17" i="19"/>
  <c r="AC17" i="19"/>
  <c r="AB17" i="19"/>
  <c r="AA17" i="19"/>
  <c r="Z17" i="19"/>
  <c r="Y17" i="19"/>
  <c r="X17" i="19"/>
  <c r="W17" i="19"/>
  <c r="V17" i="19"/>
  <c r="U17" i="19"/>
  <c r="AP16" i="19"/>
  <c r="AO16" i="19"/>
  <c r="AN16" i="19"/>
  <c r="AM16" i="19"/>
  <c r="AL16" i="19"/>
  <c r="AK16" i="19"/>
  <c r="AJ16" i="19"/>
  <c r="AI16" i="19"/>
  <c r="AH16" i="19"/>
  <c r="AG16" i="19"/>
  <c r="AF16" i="19"/>
  <c r="AE16" i="19"/>
  <c r="AD16" i="19"/>
  <c r="AC16" i="19"/>
  <c r="AB16" i="19"/>
  <c r="AA16" i="19"/>
  <c r="Z16" i="19"/>
  <c r="Y16" i="19"/>
  <c r="X16" i="19"/>
  <c r="W16" i="19"/>
  <c r="V16" i="19"/>
  <c r="U16" i="19"/>
  <c r="AP15" i="19"/>
  <c r="AO15" i="19"/>
  <c r="AN15" i="19"/>
  <c r="AM15" i="19"/>
  <c r="AL15" i="19"/>
  <c r="AK15" i="19"/>
  <c r="AJ15" i="19"/>
  <c r="AI15" i="19"/>
  <c r="AH15" i="19"/>
  <c r="AG15" i="19"/>
  <c r="AF15" i="19"/>
  <c r="AE15" i="19"/>
  <c r="AD15" i="19"/>
  <c r="AC15" i="19"/>
  <c r="AB15" i="19"/>
  <c r="AA15" i="19"/>
  <c r="Z15" i="19"/>
  <c r="Y15" i="19"/>
  <c r="X15" i="19"/>
  <c r="W15" i="19"/>
  <c r="V15" i="19"/>
  <c r="U15" i="19"/>
  <c r="AP14" i="19"/>
  <c r="AO14" i="19"/>
  <c r="AN14" i="19"/>
  <c r="AM14" i="19"/>
  <c r="AL14" i="19"/>
  <c r="AK14" i="19"/>
  <c r="AJ14" i="19"/>
  <c r="AI14" i="19"/>
  <c r="AH14" i="19"/>
  <c r="AG14" i="19"/>
  <c r="AF14" i="19"/>
  <c r="AE14" i="19"/>
  <c r="AD14" i="19"/>
  <c r="AC14" i="19"/>
  <c r="AB14" i="19"/>
  <c r="AA14" i="19"/>
  <c r="Z14" i="19"/>
  <c r="Y14" i="19"/>
  <c r="X14" i="19"/>
  <c r="W14" i="19"/>
  <c r="V14" i="19"/>
  <c r="U14" i="19"/>
  <c r="AP13" i="19"/>
  <c r="AO13" i="19"/>
  <c r="AN13" i="19"/>
  <c r="AM13" i="19"/>
  <c r="AL13" i="19"/>
  <c r="AK13" i="19"/>
  <c r="AJ13" i="19"/>
  <c r="AI13" i="19"/>
  <c r="AH13" i="19"/>
  <c r="AG13" i="19"/>
  <c r="AF13" i="19"/>
  <c r="AE13" i="19"/>
  <c r="AD13" i="19"/>
  <c r="AC13" i="19"/>
  <c r="AB13" i="19"/>
  <c r="AA13" i="19"/>
  <c r="Z13" i="19"/>
  <c r="Y13" i="19"/>
  <c r="X13" i="19"/>
  <c r="W13" i="19"/>
  <c r="V13" i="19"/>
  <c r="U13" i="19"/>
  <c r="AP12" i="19"/>
  <c r="AO12" i="19"/>
  <c r="AN12" i="19"/>
  <c r="AM12" i="19"/>
  <c r="AL12" i="19"/>
  <c r="AK12" i="19"/>
  <c r="AJ12" i="19"/>
  <c r="AI12" i="19"/>
  <c r="AH12" i="19"/>
  <c r="AG12" i="19"/>
  <c r="AF12" i="19"/>
  <c r="AE12" i="19"/>
  <c r="AD12" i="19"/>
  <c r="AC12" i="19"/>
  <c r="AB12" i="19"/>
  <c r="AA12" i="19"/>
  <c r="Z12" i="19"/>
  <c r="Y12" i="19"/>
  <c r="X12" i="19"/>
  <c r="W12" i="19"/>
  <c r="V12" i="19"/>
  <c r="U12" i="19"/>
  <c r="AP11" i="19"/>
  <c r="AO11" i="19"/>
  <c r="AN11" i="19"/>
  <c r="AM11" i="19"/>
  <c r="AL11" i="19"/>
  <c r="AK11" i="19"/>
  <c r="AJ11" i="19"/>
  <c r="AI11" i="19"/>
  <c r="AH11" i="19"/>
  <c r="AG11" i="19"/>
  <c r="AF11" i="19"/>
  <c r="AE11" i="19"/>
  <c r="AD11" i="19"/>
  <c r="AC11" i="19"/>
  <c r="AB11" i="19"/>
  <c r="AA11" i="19"/>
  <c r="Z11" i="19"/>
  <c r="Y11" i="19"/>
  <c r="X11" i="19"/>
  <c r="W11" i="19"/>
  <c r="V11" i="19"/>
  <c r="U11" i="19"/>
  <c r="AP10" i="19"/>
  <c r="AO10" i="19"/>
  <c r="AN10" i="19"/>
  <c r="AM10" i="19"/>
  <c r="AL10" i="19"/>
  <c r="AK10" i="19"/>
  <c r="AJ10" i="19"/>
  <c r="AI10" i="19"/>
  <c r="AH10" i="19"/>
  <c r="AG10" i="19"/>
  <c r="AF10" i="19"/>
  <c r="AE10" i="19"/>
  <c r="AD10" i="19"/>
  <c r="AC10" i="19"/>
  <c r="AB10" i="19"/>
  <c r="AA10" i="19"/>
  <c r="Z10" i="19"/>
  <c r="Y10" i="19"/>
  <c r="X10" i="19"/>
  <c r="W10" i="19"/>
  <c r="V10" i="19"/>
  <c r="U10" i="19"/>
  <c r="AP9" i="19"/>
  <c r="AO9" i="19"/>
  <c r="AN9" i="19"/>
  <c r="AM9" i="19"/>
  <c r="AL9" i="19"/>
  <c r="AK9" i="19"/>
  <c r="AJ9" i="19"/>
  <c r="AI9" i="19"/>
  <c r="AH9" i="19"/>
  <c r="AG9" i="19"/>
  <c r="AF9" i="19"/>
  <c r="AE9" i="19"/>
  <c r="AD9" i="19"/>
  <c r="AC9" i="19"/>
  <c r="AB9" i="19"/>
  <c r="AA9" i="19"/>
  <c r="Z9" i="19"/>
  <c r="Y9" i="19"/>
  <c r="X9" i="19"/>
  <c r="W9" i="19"/>
  <c r="V9" i="19"/>
  <c r="U9" i="19"/>
  <c r="AP8" i="19"/>
  <c r="AO8" i="19"/>
  <c r="AN8" i="19"/>
  <c r="AM8" i="19"/>
  <c r="AL8" i="19"/>
  <c r="AK8" i="19"/>
  <c r="AJ8" i="19"/>
  <c r="AI8" i="19"/>
  <c r="AH8" i="19"/>
  <c r="AG8" i="19"/>
  <c r="AF8" i="19"/>
  <c r="AE8" i="19"/>
  <c r="AD8" i="19"/>
  <c r="AC8" i="19"/>
  <c r="AB8" i="19"/>
  <c r="AA8" i="19"/>
  <c r="Z8" i="19"/>
  <c r="Y8" i="19"/>
  <c r="X8" i="19"/>
  <c r="W8" i="19"/>
  <c r="V8" i="19"/>
  <c r="U8" i="19"/>
  <c r="AP7" i="19"/>
  <c r="AO7" i="19"/>
  <c r="AN7" i="19"/>
  <c r="AM7" i="19"/>
  <c r="AL7" i="19"/>
  <c r="AK7" i="19"/>
  <c r="AJ7" i="19"/>
  <c r="AI7" i="19"/>
  <c r="AH7" i="19"/>
  <c r="AG7" i="19"/>
  <c r="AF7" i="19"/>
  <c r="AE7" i="19"/>
  <c r="AD7" i="19"/>
  <c r="AC7" i="19"/>
  <c r="AB7" i="19"/>
  <c r="AA7" i="19"/>
  <c r="Z7" i="19"/>
  <c r="Y7" i="19"/>
  <c r="X7" i="19"/>
  <c r="W7" i="19"/>
  <c r="V7" i="19"/>
  <c r="U7" i="19"/>
  <c r="T7" i="19"/>
  <c r="S7" i="19"/>
  <c r="R7" i="19"/>
  <c r="Q7" i="19"/>
  <c r="P7" i="19"/>
  <c r="O7" i="19"/>
  <c r="N7" i="19"/>
  <c r="M7" i="19"/>
  <c r="AP6" i="19"/>
  <c r="AO6" i="19"/>
  <c r="AN6" i="19"/>
  <c r="AM6" i="19"/>
  <c r="AL6" i="19"/>
  <c r="AK6" i="19"/>
  <c r="AJ6" i="19"/>
  <c r="AI6" i="19"/>
  <c r="AH6" i="19"/>
  <c r="AG6" i="19"/>
  <c r="AF6" i="19"/>
  <c r="AE6" i="19"/>
  <c r="AD6" i="19"/>
  <c r="AC6" i="19"/>
  <c r="AB6" i="19"/>
  <c r="AA6" i="19"/>
  <c r="Z6" i="19"/>
  <c r="Y6" i="19"/>
  <c r="X6" i="19"/>
  <c r="W6" i="19"/>
  <c r="V6" i="19"/>
  <c r="U6" i="19"/>
  <c r="T6" i="19"/>
  <c r="S6" i="19"/>
  <c r="R6" i="19"/>
  <c r="Q6" i="19"/>
  <c r="P6" i="19"/>
  <c r="O6" i="19"/>
  <c r="N6" i="19"/>
  <c r="L174" i="19"/>
  <c r="L173" i="19"/>
  <c r="L172" i="19"/>
  <c r="L171" i="19"/>
  <c r="L170" i="19"/>
  <c r="L169" i="19"/>
  <c r="L168" i="19"/>
  <c r="L167" i="19"/>
  <c r="L166" i="19"/>
  <c r="L165" i="19"/>
  <c r="L116" i="19"/>
  <c r="L115" i="19"/>
  <c r="L114" i="19"/>
  <c r="L113" i="19"/>
  <c r="L112" i="19"/>
  <c r="L111" i="19"/>
  <c r="L110" i="19"/>
  <c r="L109" i="19"/>
  <c r="L108" i="19"/>
  <c r="L107" i="19"/>
  <c r="L58" i="19"/>
  <c r="L57" i="19"/>
  <c r="L56" i="19"/>
  <c r="L55" i="19"/>
  <c r="L54" i="19"/>
  <c r="L53" i="19"/>
  <c r="L52" i="19"/>
  <c r="L51" i="19"/>
  <c r="L50" i="19"/>
  <c r="L49" i="19"/>
  <c r="L48" i="19"/>
  <c r="L47" i="19"/>
  <c r="L46" i="19"/>
  <c r="L45" i="19"/>
  <c r="L44" i="19"/>
  <c r="L43" i="19"/>
  <c r="L42" i="19"/>
  <c r="L41" i="19"/>
  <c r="L40" i="19"/>
  <c r="L39" i="19"/>
  <c r="L38" i="19"/>
  <c r="L37" i="19"/>
  <c r="L36" i="19"/>
  <c r="L35" i="19"/>
  <c r="L34" i="19"/>
  <c r="L33" i="19"/>
  <c r="L32" i="19"/>
  <c r="L31" i="19"/>
  <c r="L30" i="19"/>
  <c r="L29" i="19"/>
  <c r="L28" i="19"/>
  <c r="L27" i="19"/>
  <c r="L26" i="19"/>
  <c r="L25" i="19"/>
  <c r="L24" i="19"/>
  <c r="L23" i="19"/>
  <c r="L22" i="19"/>
  <c r="L21" i="19"/>
  <c r="L20" i="19"/>
  <c r="L19" i="19"/>
  <c r="L18" i="19"/>
  <c r="L17" i="19"/>
  <c r="L16" i="19"/>
  <c r="L15" i="19"/>
  <c r="L14" i="19"/>
  <c r="L13" i="19"/>
  <c r="L12" i="19"/>
  <c r="L11" i="19"/>
  <c r="L10" i="19"/>
  <c r="L9" i="19"/>
  <c r="L8" i="19"/>
  <c r="L7" i="19"/>
  <c r="L6" i="19"/>
  <c r="L5" i="19"/>
  <c r="Q6" i="20"/>
  <c r="V6" i="20" s="1"/>
  <c r="G29" i="14"/>
  <c r="E49" i="14" s="1"/>
  <c r="A1" i="20"/>
  <c r="T6" i="20" l="1"/>
  <c r="R6" i="20"/>
  <c r="S6" i="20"/>
  <c r="U6" i="20" s="1"/>
  <c r="E48" i="14"/>
  <c r="E51" i="14" s="1"/>
  <c r="Q55" i="20"/>
  <c r="Q54" i="20"/>
  <c r="Q53" i="20"/>
  <c r="Q52" i="20"/>
  <c r="Q51" i="20"/>
  <c r="Q50" i="20"/>
  <c r="Q49" i="20"/>
  <c r="Q48" i="20"/>
  <c r="Q47" i="20"/>
  <c r="Q46" i="20"/>
  <c r="Q45" i="20"/>
  <c r="Q44" i="20"/>
  <c r="Q43" i="20"/>
  <c r="Q42" i="20"/>
  <c r="Q41" i="20"/>
  <c r="Q40" i="20"/>
  <c r="Q39" i="20"/>
  <c r="Q38" i="20"/>
  <c r="Q37" i="20"/>
  <c r="Q36" i="20"/>
  <c r="Q35" i="20"/>
  <c r="Q34" i="20"/>
  <c r="Q33" i="20"/>
  <c r="Q32" i="20"/>
  <c r="Q31" i="20"/>
  <c r="Q30" i="20"/>
  <c r="Q29" i="20"/>
  <c r="Q28" i="20"/>
  <c r="Q27" i="20"/>
  <c r="Q26" i="20"/>
  <c r="Q25" i="20"/>
  <c r="Q24" i="20"/>
  <c r="Q23" i="20"/>
  <c r="Q22" i="20"/>
  <c r="Q21" i="20"/>
  <c r="Q20" i="20"/>
  <c r="Q19" i="20"/>
  <c r="Q18" i="20"/>
  <c r="Q17" i="20"/>
  <c r="Q16" i="20"/>
  <c r="Q15" i="20"/>
  <c r="Q14" i="20"/>
  <c r="Q13" i="20"/>
  <c r="Q12" i="20"/>
  <c r="Q10" i="20"/>
  <c r="V10" i="20" s="1"/>
  <c r="R10" i="20" s="1"/>
  <c r="Q9" i="20"/>
  <c r="V9" i="20" s="1"/>
  <c r="R9" i="20" s="1"/>
  <c r="Q8" i="20"/>
  <c r="V8" i="20" s="1"/>
  <c r="S8" i="20" s="1"/>
  <c r="Q7" i="20"/>
  <c r="V7" i="20" s="1"/>
  <c r="S7" i="20" s="1"/>
  <c r="N56" i="20"/>
  <c r="A7" i="20"/>
  <c r="A8" i="20" s="1"/>
  <c r="A9" i="20" s="1"/>
  <c r="A10" i="20" s="1"/>
  <c r="A11" i="20" s="1"/>
  <c r="A12" i="20" s="1"/>
  <c r="A13" i="20" s="1"/>
  <c r="A14" i="20" s="1"/>
  <c r="A15" i="20" s="1"/>
  <c r="A16" i="20" s="1"/>
  <c r="A17" i="20" s="1"/>
  <c r="A18" i="20" s="1"/>
  <c r="A19" i="20" s="1"/>
  <c r="A20" i="20" s="1"/>
  <c r="A21" i="20" s="1"/>
  <c r="A22" i="20" s="1"/>
  <c r="A23" i="20" s="1"/>
  <c r="A24" i="20" s="1"/>
  <c r="A25" i="20" s="1"/>
  <c r="A26" i="20" s="1"/>
  <c r="A27" i="20" s="1"/>
  <c r="A28" i="20" s="1"/>
  <c r="A29" i="20" s="1"/>
  <c r="A30" i="20" s="1"/>
  <c r="A31" i="20" s="1"/>
  <c r="A32" i="20" s="1"/>
  <c r="A33" i="20" s="1"/>
  <c r="A34" i="20" s="1"/>
  <c r="A35" i="20" s="1"/>
  <c r="A36" i="20" s="1"/>
  <c r="A37" i="20" s="1"/>
  <c r="A38" i="20" s="1"/>
  <c r="A39" i="20" s="1"/>
  <c r="A40" i="20" s="1"/>
  <c r="A41" i="20" s="1"/>
  <c r="A42" i="20" s="1"/>
  <c r="A43" i="20" s="1"/>
  <c r="A44" i="20" s="1"/>
  <c r="A45" i="20" s="1"/>
  <c r="A46" i="20" s="1"/>
  <c r="A47" i="20" s="1"/>
  <c r="A48" i="20" s="1"/>
  <c r="A49" i="20" s="1"/>
  <c r="A50" i="20" s="1"/>
  <c r="A51" i="20" s="1"/>
  <c r="A52" i="20" s="1"/>
  <c r="A53" i="20" s="1"/>
  <c r="A54" i="20" s="1"/>
  <c r="A55" i="20" s="1"/>
  <c r="T7" i="20" l="1"/>
  <c r="U7" i="20" s="1"/>
  <c r="R7" i="20"/>
  <c r="T8" i="20"/>
  <c r="U8" i="20" s="1"/>
  <c r="R8" i="20"/>
  <c r="T9" i="20"/>
  <c r="S9" i="20"/>
  <c r="S10" i="20"/>
  <c r="T10" i="20"/>
  <c r="P2" i="20"/>
  <c r="C11" i="14"/>
  <c r="C61" i="14"/>
  <c r="H35" i="14"/>
  <c r="U9" i="20" l="1"/>
  <c r="S56" i="20"/>
  <c r="T56" i="20"/>
  <c r="U10" i="20"/>
  <c r="AR5" i="19"/>
  <c r="AR6" i="19" s="1"/>
  <c r="AR7" i="19" s="1"/>
  <c r="AR8" i="19" s="1"/>
  <c r="AR9" i="19" s="1"/>
  <c r="AR10" i="19" s="1"/>
  <c r="AR11" i="19" s="1"/>
  <c r="AR12" i="19" s="1"/>
  <c r="AR13" i="19" s="1"/>
  <c r="AR14" i="19" s="1"/>
  <c r="AR15" i="19" s="1"/>
  <c r="U56" i="20" l="1"/>
  <c r="H41" i="14"/>
  <c r="H29" i="14"/>
  <c r="D54" i="14" s="1"/>
  <c r="C55" i="14" l="1"/>
  <c r="D64" i="14"/>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<sst xmlns="http://schemas.openxmlformats.org/spreadsheetml/2006/main" count="326" uniqueCount="112">
  <si>
    <t>Bulan</t>
  </si>
  <si>
    <t>Tahun</t>
  </si>
  <si>
    <t>Admin</t>
  </si>
  <si>
    <t>Rate EM</t>
  </si>
  <si>
    <t>‰</t>
  </si>
  <si>
    <t>Total Pembayaran</t>
  </si>
  <si>
    <t>Kepada Yth.</t>
  </si>
  <si>
    <t xml:space="preserve">Gedung Asuransi Simas Jiwa, Jl. Lombok No 73 Jakarta Pusat </t>
  </si>
  <si>
    <t>Telephone : 021-21390188</t>
  </si>
  <si>
    <t>Dengan hormat,</t>
  </si>
  <si>
    <t>Nama</t>
  </si>
  <si>
    <t>Jenis Kelamin</t>
  </si>
  <si>
    <t>Alamat</t>
  </si>
  <si>
    <t>Laki-Laki</t>
  </si>
  <si>
    <t>Keterangan Medis:</t>
  </si>
  <si>
    <t>Demikian disampaikan, atas perhatian dan kerjasamanya kami ucapkan terima kasih.</t>
  </si>
  <si>
    <t>Tanggal dibuat:</t>
  </si>
  <si>
    <t>E</t>
  </si>
  <si>
    <t>D</t>
  </si>
  <si>
    <t>C</t>
  </si>
  <si>
    <t>B</t>
  </si>
  <si>
    <t>NM</t>
  </si>
  <si>
    <t>A</t>
  </si>
  <si>
    <t>AA</t>
  </si>
  <si>
    <t>:</t>
  </si>
  <si>
    <t>Penjelasan</t>
  </si>
  <si>
    <t>PT ASURANSI SIMAS JIWA</t>
  </si>
  <si>
    <t>Tanggal Lahir*</t>
  </si>
  <si>
    <t>Masa Asuransi*</t>
  </si>
  <si>
    <t>*Mandatory</t>
  </si>
  <si>
    <t>Budi Sasongko</t>
  </si>
  <si>
    <t>Jl. Beverly Hills No. 8 RT. 005/RW.008</t>
  </si>
  <si>
    <t>Automatic Acceptance dimana Peserta harus dalam keadaan sehat dan atau tidak sedang dalam pengobatan atau perawatan, tidak pernah menderita gejala penyakit dan didiagnosa suatu penyakit, tidak dalam pengobatan atau perawatan karena suatu penyakit, pada saat mulai Asuransi.
Jika persyaratan tersebut diatas tidak terpenuhi maka klaim dapat ditolak.</t>
  </si>
  <si>
    <t>Uang Pertanggungan</t>
  </si>
  <si>
    <t>-</t>
  </si>
  <si>
    <t>Distribution Channel</t>
  </si>
  <si>
    <t>Company Name</t>
  </si>
  <si>
    <t>Maksimum UP</t>
  </si>
  <si>
    <t>Masa Asuransi (tahun)</t>
  </si>
  <si>
    <t>Min</t>
  </si>
  <si>
    <t>Max</t>
  </si>
  <si>
    <t>Usia Masuk Peserta (tahun)</t>
  </si>
  <si>
    <t>Maksimum Usia Pertanggungan (tahun)</t>
  </si>
  <si>
    <t>Max s.d.</t>
  </si>
  <si>
    <t>Umur</t>
  </si>
  <si>
    <t>Masa Asuransi  (dalam Tahun)</t>
  </si>
  <si>
    <t>Faktor</t>
  </si>
  <si>
    <t>Bancassurance</t>
  </si>
  <si>
    <t>Direct Sales</t>
  </si>
  <si>
    <t>Digital</t>
  </si>
  <si>
    <t>POAJK</t>
  </si>
  <si>
    <t>Syariah</t>
  </si>
  <si>
    <t>SMLI (Timor Leste)</t>
  </si>
  <si>
    <t>direct.sales@simasjiwa.co.id</t>
  </si>
  <si>
    <t>digital@simasjiwa.co.id</t>
  </si>
  <si>
    <t>poajk@simasjiwa.co.id</t>
  </si>
  <si>
    <t>bancassurance@simasjiwa.co.id</t>
  </si>
  <si>
    <t>syariah.div@simasjiwa.co.id</t>
  </si>
  <si>
    <t>DC</t>
  </si>
  <si>
    <t>email</t>
  </si>
  <si>
    <t>No.</t>
  </si>
  <si>
    <t>Pekerjaan</t>
  </si>
  <si>
    <t>No. KTP</t>
  </si>
  <si>
    <t>Hubungan</t>
  </si>
  <si>
    <t>Email</t>
  </si>
  <si>
    <t>Tanggal Lahir
(MM/DD/YYYY)</t>
  </si>
  <si>
    <t>Tanggal Mulai Asuransi
(MM/DD/YYYY)</t>
  </si>
  <si>
    <t>Masa Asuransi</t>
  </si>
  <si>
    <t>Rate EM (‰)</t>
  </si>
  <si>
    <t>Keterangan Medis</t>
  </si>
  <si>
    <t xml:space="preserve">Karyawan Swasta </t>
  </si>
  <si>
    <t>Jakarta</t>
  </si>
  <si>
    <t>Tertanggung</t>
  </si>
  <si>
    <t>Perempuan</t>
  </si>
  <si>
    <t>Bandung</t>
  </si>
  <si>
    <t>Semarang</t>
  </si>
  <si>
    <t>Samarinda</t>
  </si>
  <si>
    <t>Yogyakarta</t>
  </si>
  <si>
    <t/>
  </si>
  <si>
    <t>Grand Total</t>
  </si>
  <si>
    <t>Note: Setiap Pengajuan Auto Acceptance Wajib Melampirkan KTP yang masih berlaku</t>
  </si>
  <si>
    <t>aaa@gmail.com</t>
  </si>
  <si>
    <t>bbb@gmail.com</t>
  </si>
  <si>
    <t>ccc@gmail.com</t>
  </si>
  <si>
    <t>ddd@gmail.com</t>
  </si>
  <si>
    <t>eee@gmail.com</t>
  </si>
  <si>
    <t>UP Flat</t>
  </si>
  <si>
    <t>UP Decreasing</t>
  </si>
  <si>
    <t>For Use</t>
  </si>
  <si>
    <t>Line of Business</t>
  </si>
  <si>
    <t>Product Specification (Use)</t>
  </si>
  <si>
    <t>Product Specification (UP Dec)</t>
  </si>
  <si>
    <t>Product Specification (UP Flat)</t>
  </si>
  <si>
    <t>Menurun</t>
  </si>
  <si>
    <t>Dec</t>
  </si>
  <si>
    <t>Flat</t>
  </si>
  <si>
    <t>UP Indicator</t>
  </si>
  <si>
    <t>Konvensional</t>
  </si>
  <si>
    <t>Use</t>
  </si>
  <si>
    <t>AAA</t>
  </si>
  <si>
    <t>BBB</t>
  </si>
  <si>
    <t>CCC</t>
  </si>
  <si>
    <t>DDD</t>
  </si>
  <si>
    <t>EEE</t>
  </si>
  <si>
    <t>1234567891011121</t>
  </si>
  <si>
    <t>1234567891011122</t>
  </si>
  <si>
    <t>1234567891011123</t>
  </si>
  <si>
    <t>1234567891011124</t>
  </si>
  <si>
    <t>1234567891011125</t>
  </si>
  <si>
    <t>Nama Peserta /  Debitur (Sesuai KTP)</t>
  </si>
  <si>
    <t>Usia
(Nearest Birthday)</t>
  </si>
  <si>
    <t>BPR Binarta Luhur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</si>
</sst>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43" formatCode="_(* #,##0.00_);_(* \(#,##0.00\);_(* &quot;-&quot;??_);_(@_)"/>
    <numFmt numFmtId="164" formatCode="[$-409]dd\-mmm\-yyyy;@"/>
    <numFmt numFmtId="165" formatCode="_([$IDR]\ * #,##0_);_([$IDR]\ * \(#,##0\);_([$IDR]\ * &quot;-&quot;_);_(@_)"/>
    <numFmt numFmtId="166" formatCode="_(* #,##0_);_(* \(#,##0\);_(* &quot;-&quot;??_);_(@_)"/>
    <numFmt numFmtId="167" formatCode="[$-409]d\-mmm\-yyyy;@"/>
    <numFmt numFmtId="168" formatCode="_([$IDR]\ * #,##0_);_([$IDR]\ * \(#,##0\);_([$IDR]\ * 0_);_(@_)"/>
    <numFmt numFmtId="169" formatCode="_([$IDR]\ * #,##0.00_);_([$IDR]\ * \(#,##0.00\);_([$IDR]\ * &quot;-&quot;??_);_(@_)"/>
    <numFmt numFmtId="170" formatCode="_-[$IDR]\ * #,##0.00_-;\-[$IDR]\ * #,##0.00_-;_-[$IDR]\ * &quot;-&quot;??_-;_-@_-"/>
    <numFmt numFmtId="171" formatCode="&quot;£&quot;#,##0;\-&quot;£&quot;#,##0"/>
    <numFmt numFmtId="172" formatCode="_([$IDR]\ * #,##0_);_([$IDR]\ * \(#,##0\);_([$IDR]\ * &quot;-&quot;??_);_(@_)"/>
    <numFmt numFmtId="173" formatCode="[$IDR]\ #,##0_);\([$IDR]\ #,##0\)"/>
    <numFmt numFmtId="174" formatCode="_(* #,##0.000_);_(* \(#,##0.000\);_(* &quot;-&quot;??_);_(@_)"/>
    <numFmt numFmtId="175" formatCode="mm\-dd\-yyyy"/>
    <numFmt numFmtId="176" formatCode="[$IDR]\ #,##0"/>
  </numFmts>
  <fonts count="23" x14ac:knownFonts="1">
    <font>
      <sz val="11"/>
      <color theme="1"/>
      <name val="Calibri"/>
      <family val="2"/>
      <scheme val="minor"/>
    </font>
    <font>
      <sz val="11"/>
      <color indexed="8"/>
      <name val="Calibri"/>
      <family val="2"/>
    </font>
    <font>
      <sz val="8"/>
      <name val="Calibri"/>
      <family val="2"/>
    </font>
    <font>
      <sz val="8"/>
      <name val="Arial"/>
      <family val="2"/>
    </font>
    <font>
      <sz val="12"/>
      <name val="Calibri"/>
      <family val="2"/>
      <scheme val="minor"/>
    </font>
    <font>
      <b/>
      <sz val="12"/>
      <name val="Calibri"/>
      <family val="2"/>
      <scheme val="minor"/>
    </font>
    <font>
      <b/>
      <sz val="12"/>
      <color indexed="10"/>
      <name val="Calibri"/>
      <family val="2"/>
      <scheme val="minor"/>
    </font>
    <font>
      <sz val="10"/>
      <name val="Arial"/>
      <family val="2"/>
    </font>
    <font>
      <sz val="12"/>
      <color indexed="44"/>
      <name val="Calibri"/>
      <family val="2"/>
      <scheme val="minor"/>
    </font>
    <font>
      <sz val="11"/>
      <color indexed="8"/>
      <name val="Calibri"/>
      <family val="2"/>
      <scheme val="minor"/>
    </font>
    <font>
      <sz val="11"/>
      <name val="Calibri"/>
      <family val="2"/>
      <scheme val="minor"/>
    </font>
    <font>
      <sz val="11"/>
      <color theme="1"/>
      <name val="Calibri"/>
      <family val="2"/>
      <charset val="1"/>
      <scheme val="minor"/>
    </font>
    <font>
      <sz val="12"/>
      <color rgb="FFFF0000"/>
      <name val="Calibri"/>
      <family val="2"/>
      <scheme val="minor"/>
    </font>
    <font>
      <sz val="11"/>
      <color theme="1"/>
      <name val="Calibri"/>
      <family val="2"/>
      <scheme val="minor"/>
    </font>
    <font>
      <sz val="11"/>
      <color rgb="FFFF0000"/>
      <name val="Calibri"/>
      <family val="2"/>
      <scheme val="minor"/>
    </font>
    <font>
      <b/>
      <sz val="11"/>
      <color theme="1"/>
      <name val="Calibri"/>
      <family val="2"/>
      <scheme val="minor"/>
    </font>
    <font>
      <sz val="10"/>
      <name val="Calibri"/>
      <family val="2"/>
      <scheme val="minor"/>
    </font>
    <font>
      <b/>
      <sz val="11"/>
      <name val="Calibri"/>
      <family val="2"/>
      <scheme val="minor"/>
    </font>
    <font>
      <u/>
      <sz val="11"/>
      <color theme="10"/>
      <name val="Calibri"/>
      <family val="2"/>
      <scheme val="minor"/>
    </font>
    <font>
      <b/>
      <sz val="11"/>
      <color indexed="8"/>
      <name val="Calibri"/>
      <family val="2"/>
      <scheme val="minor"/>
    </font>
    <font>
      <sz val="12"/>
      <color theme="0"/>
      <name val="Calibri"/>
      <family val="2"/>
      <scheme val="minor"/>
    </font>
    <font>
      <sz val="8"/>
      <color rgb="FF000000"/>
      <name val="Segoe UI"/>
      <family val="2"/>
    </font>
    <font>
      <i/>
      <sz val="11"/>
      <name val="Calibri"/>
      <family val="2"/>
      <scheme val="minor"/>
    </font>
  </fonts>
  <fills count="14">
    <fill>
      <patternFill patternType="none"/>
    </fill>
    <fill>
      <patternFill patternType="gray125"/>
    </fill>
    <fill>
      <patternFill patternType="darkUp">
        <fgColor indexed="9"/>
        <bgColor theme="0"/>
      </patternFill>
    </fill>
    <fill>
      <patternFill patternType="solid">
        <fgColor theme="0"/>
        <bgColor indexed="8"/>
      </patternFill>
    </fill>
    <fill>
      <patternFill patternType="solid">
        <fgColor indexed="9"/>
        <bgColor indexed="64"/>
      </patternFill>
    </fill>
    <fill>
      <patternFill patternType="solid">
        <fgColor theme="0"/>
        <bgColor indexed="64"/>
      </patternFill>
    </fill>
    <fill>
      <patternFill patternType="solid">
        <fgColor theme="6" tint="0.59999389629810485"/>
        <bgColor indexed="64"/>
      </patternFill>
    </fill>
    <fill>
      <patternFill patternType="solid">
        <fgColor theme="0" tint="-4.9989318521683403E-2"/>
        <bgColor indexed="64"/>
      </patternFill>
    </fill>
    <fill>
      <patternFill patternType="solid">
        <fgColor theme="4" tint="0.59999389629810485"/>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theme="5" tint="0.39997558519241921"/>
        <bgColor indexed="8"/>
      </patternFill>
    </fill>
    <fill>
      <patternFill patternType="solid">
        <fgColor theme="5" tint="0.39997558519241921"/>
        <bgColor indexed="64"/>
      </patternFill>
    </fill>
    <fill>
      <patternFill patternType="darkUp">
        <fgColor indexed="9"/>
        <bgColor theme="5" tint="0.39997558519241921"/>
      </patternFill>
    </fill>
  </fills>
  <borders count="23">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s>
  <cellStyleXfs count="17">
    <xf numFmtId="0" fontId="0" fillId="0" borderId="0"/>
    <xf numFmtId="43" fontId="1" fillId="0" borderId="0" applyFont="0" applyFill="0" applyBorder="0" applyAlignment="0" applyProtection="0"/>
    <xf numFmtId="43"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0" fontId="3" fillId="0" borderId="0"/>
    <xf numFmtId="43" fontId="3" fillId="0" borderId="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0" fontId="9" fillId="0" borderId="0"/>
    <xf numFmtId="43" fontId="9" fillId="0" borderId="0" applyFont="0" applyFill="0" applyBorder="0" applyAlignment="0" applyProtection="0"/>
    <xf numFmtId="171" fontId="11" fillId="0" borderId="0" applyFont="0" applyFill="0" applyBorder="0" applyAlignment="0" applyProtection="0"/>
    <xf numFmtId="0" fontId="7" fillId="0" borderId="0"/>
    <xf numFmtId="9" fontId="13" fillId="0" borderId="0" applyFont="0" applyFill="0" applyBorder="0" applyAlignment="0" applyProtection="0"/>
    <xf numFmtId="0" fontId="18" fillId="0" borderId="0" applyNumberFormat="0" applyFill="0" applyBorder="0" applyAlignment="0" applyProtection="0"/>
    <xf numFmtId="43" fontId="13" fillId="0" borderId="0" applyFont="0" applyFill="0" applyBorder="0" applyAlignment="0" applyProtection="0"/>
  </cellStyleXfs>
  <cellXfs count="160">
    <xf numFmtId="0" fontId="0" fillId="0" borderId="0" xfId="0"/>
    <xf numFmtId="0" fontId="10" fillId="0" borderId="0" xfId="10" applyFont="1" applyProtection="1">
      <protection hidden="1"/>
    </xf>
    <xf numFmtId="0" fontId="10" fillId="0" borderId="0" xfId="10" applyFont="1" applyAlignment="1" applyProtection="1">
      <alignment horizontal="center"/>
      <protection hidden="1"/>
    </xf>
    <xf numFmtId="172" fontId="10" fillId="0" borderId="0" xfId="1" applyNumberFormat="1" applyFont="1" applyAlignment="1" applyProtection="1">
      <alignment horizontal="center"/>
      <protection hidden="1"/>
    </xf>
    <xf numFmtId="0" fontId="16" fillId="5" borderId="12" xfId="0" applyFont="1" applyFill="1" applyBorder="1" applyAlignment="1">
      <alignment vertical="center"/>
    </xf>
    <xf numFmtId="0" fontId="16" fillId="5" borderId="11" xfId="0" applyFont="1" applyFill="1" applyBorder="1" applyAlignment="1">
      <alignment vertical="center"/>
    </xf>
    <xf numFmtId="0" fontId="16" fillId="5" borderId="13" xfId="0" applyFont="1" applyFill="1" applyBorder="1" applyAlignment="1">
      <alignment vertical="center"/>
    </xf>
    <xf numFmtId="0" fontId="16" fillId="5" borderId="14" xfId="0" applyFont="1" applyFill="1" applyBorder="1" applyAlignment="1">
      <alignment vertical="center"/>
    </xf>
    <xf numFmtId="0" fontId="17" fillId="5" borderId="0" xfId="0" applyFont="1" applyFill="1" applyAlignment="1">
      <alignment vertical="center"/>
    </xf>
    <xf numFmtId="0" fontId="16" fillId="5" borderId="0" xfId="0" applyFont="1" applyFill="1" applyAlignment="1">
      <alignment vertical="center"/>
    </xf>
    <xf numFmtId="0" fontId="16" fillId="5" borderId="15" xfId="0" applyFont="1" applyFill="1" applyBorder="1" applyAlignment="1">
      <alignment vertical="center"/>
    </xf>
    <xf numFmtId="0" fontId="16" fillId="5" borderId="0" xfId="0" applyFont="1" applyFill="1" applyAlignment="1">
      <alignment horizontal="center" vertical="center"/>
    </xf>
    <xf numFmtId="0" fontId="16" fillId="5" borderId="0" xfId="0" applyFont="1" applyFill="1" applyAlignment="1">
      <alignment horizontal="left" vertical="center"/>
    </xf>
    <xf numFmtId="0" fontId="16" fillId="5" borderId="2" xfId="0" applyFont="1" applyFill="1" applyBorder="1" applyAlignment="1">
      <alignment horizontal="center" vertical="center"/>
    </xf>
    <xf numFmtId="0" fontId="16" fillId="6" borderId="2" xfId="0" applyFont="1" applyFill="1" applyBorder="1" applyAlignment="1" applyProtection="1">
      <alignment horizontal="center" vertical="center"/>
      <protection locked="0"/>
    </xf>
    <xf numFmtId="0" fontId="16" fillId="6" borderId="2" xfId="0" applyFont="1" applyFill="1" applyBorder="1" applyAlignment="1">
      <alignment horizontal="center" vertical="center"/>
    </xf>
    <xf numFmtId="0" fontId="16" fillId="5" borderId="0" xfId="0" applyFont="1" applyFill="1" applyAlignment="1" applyProtection="1">
      <alignment horizontal="center" vertical="center"/>
      <protection locked="0"/>
    </xf>
    <xf numFmtId="0" fontId="16" fillId="5" borderId="15" xfId="0" applyFont="1" applyFill="1" applyBorder="1" applyAlignment="1">
      <alignment horizontal="left" vertical="center"/>
    </xf>
    <xf numFmtId="0" fontId="16" fillId="5" borderId="19" xfId="0" applyFont="1" applyFill="1" applyBorder="1" applyAlignment="1">
      <alignment vertical="center"/>
    </xf>
    <xf numFmtId="0" fontId="16" fillId="5" borderId="1" xfId="0" applyFont="1" applyFill="1" applyBorder="1" applyAlignment="1">
      <alignment horizontal="left" vertical="center"/>
    </xf>
    <xf numFmtId="0" fontId="16" fillId="5" borderId="1" xfId="0" applyFont="1" applyFill="1" applyBorder="1" applyAlignment="1">
      <alignment horizontal="center" vertical="center"/>
    </xf>
    <xf numFmtId="0" fontId="16" fillId="5" borderId="1" xfId="0" applyFont="1" applyFill="1" applyBorder="1" applyAlignment="1" applyProtection="1">
      <alignment horizontal="center" vertical="center"/>
      <protection locked="0"/>
    </xf>
    <xf numFmtId="0" fontId="16" fillId="5" borderId="20" xfId="0" applyFont="1" applyFill="1" applyBorder="1" applyAlignment="1">
      <alignment vertical="center"/>
    </xf>
    <xf numFmtId="0" fontId="15" fillId="7" borderId="2" xfId="6" applyFont="1" applyFill="1" applyBorder="1" applyAlignment="1">
      <alignment horizontal="center" vertical="top"/>
    </xf>
    <xf numFmtId="3" fontId="10" fillId="0" borderId="2" xfId="6" applyNumberFormat="1" applyFont="1" applyBorder="1" applyAlignment="1">
      <alignment horizontal="center"/>
    </xf>
    <xf numFmtId="174" fontId="10" fillId="0" borderId="2" xfId="7" applyNumberFormat="1" applyFont="1" applyFill="1" applyBorder="1" applyAlignment="1">
      <alignment horizontal="right"/>
    </xf>
    <xf numFmtId="43" fontId="10" fillId="0" borderId="2" xfId="1" applyFont="1" applyBorder="1" applyAlignment="1">
      <alignment horizontal="center" vertical="center"/>
    </xf>
    <xf numFmtId="9" fontId="10" fillId="0" borderId="2" xfId="14" applyFont="1" applyFill="1" applyBorder="1" applyAlignment="1">
      <alignment horizontal="center" vertical="center"/>
    </xf>
    <xf numFmtId="0" fontId="0" fillId="0" borderId="2" xfId="0" applyBorder="1" applyAlignment="1">
      <alignment horizontal="center" vertical="center"/>
    </xf>
    <xf numFmtId="0" fontId="0" fillId="0" borderId="2" xfId="0" applyBorder="1"/>
    <xf numFmtId="0" fontId="18" fillId="0" borderId="2" xfId="15" applyBorder="1"/>
    <xf numFmtId="0" fontId="0" fillId="0" borderId="0" xfId="0" applyAlignment="1" applyProtection="1">
      <alignment horizontal="center" vertical="center"/>
      <protection hidden="1"/>
    </xf>
    <xf numFmtId="0" fontId="0" fillId="0" borderId="0" xfId="0" applyAlignment="1" applyProtection="1">
      <alignment horizontal="left" vertical="center"/>
      <protection hidden="1"/>
    </xf>
    <xf numFmtId="0" fontId="0" fillId="0" borderId="2" xfId="0" applyBorder="1" applyAlignment="1" applyProtection="1">
      <alignment horizontal="center" vertical="center"/>
      <protection locked="0"/>
    </xf>
    <xf numFmtId="0" fontId="0" fillId="0" borderId="2" xfId="0" applyBorder="1" applyAlignment="1" applyProtection="1">
      <alignment vertical="center"/>
      <protection locked="0"/>
    </xf>
    <xf numFmtId="0" fontId="0" fillId="0" borderId="2" xfId="0" applyBorder="1" applyAlignment="1" applyProtection="1">
      <alignment horizontal="left" vertical="center"/>
      <protection locked="0"/>
    </xf>
    <xf numFmtId="49" fontId="0" fillId="0" borderId="2" xfId="0" quotePrefix="1" applyNumberFormat="1" applyBorder="1" applyAlignment="1" applyProtection="1">
      <alignment horizontal="center" vertical="center"/>
      <protection locked="0"/>
    </xf>
    <xf numFmtId="0" fontId="18" fillId="0" borderId="2" xfId="15" applyFill="1" applyBorder="1" applyAlignment="1" applyProtection="1">
      <alignment horizontal="center"/>
      <protection locked="0"/>
    </xf>
    <xf numFmtId="166" fontId="0" fillId="0" borderId="2" xfId="16" applyNumberFormat="1" applyFont="1" applyFill="1" applyBorder="1" applyAlignment="1" applyProtection="1">
      <alignment vertical="center"/>
      <protection locked="0"/>
    </xf>
    <xf numFmtId="1" fontId="0" fillId="10" borderId="2" xfId="0" applyNumberFormat="1" applyFill="1" applyBorder="1" applyAlignment="1" applyProtection="1">
      <alignment horizontal="center" vertical="center"/>
      <protection hidden="1"/>
    </xf>
    <xf numFmtId="166" fontId="0" fillId="10" borderId="2" xfId="0" applyNumberFormat="1" applyFill="1" applyBorder="1" applyAlignment="1" applyProtection="1">
      <alignment horizontal="center" vertical="center"/>
      <protection hidden="1"/>
    </xf>
    <xf numFmtId="166" fontId="0" fillId="10" borderId="2" xfId="0" applyNumberFormat="1" applyFill="1" applyBorder="1" applyAlignment="1" applyProtection="1">
      <alignment vertical="center"/>
      <protection hidden="1"/>
    </xf>
    <xf numFmtId="167" fontId="0" fillId="0" borderId="2" xfId="0" applyNumberFormat="1" applyBorder="1" applyAlignment="1" applyProtection="1">
      <alignment horizontal="center" vertical="center"/>
      <protection hidden="1"/>
    </xf>
    <xf numFmtId="0" fontId="0" fillId="0" borderId="2" xfId="0" applyBorder="1" applyAlignment="1" applyProtection="1">
      <alignment horizontal="center" vertical="center"/>
      <protection hidden="1"/>
    </xf>
    <xf numFmtId="166" fontId="15" fillId="0" borderId="2" xfId="16" applyNumberFormat="1" applyFont="1" applyBorder="1" applyAlignment="1" applyProtection="1">
      <alignment vertical="center"/>
      <protection hidden="1"/>
    </xf>
    <xf numFmtId="166" fontId="15" fillId="9" borderId="2" xfId="0" applyNumberFormat="1" applyFont="1" applyFill="1" applyBorder="1" applyAlignment="1" applyProtection="1">
      <alignment vertical="center"/>
      <protection hidden="1"/>
    </xf>
    <xf numFmtId="166" fontId="15" fillId="9" borderId="2" xfId="16" applyNumberFormat="1" applyFont="1" applyFill="1" applyBorder="1" applyAlignment="1" applyProtection="1">
      <alignment vertical="center"/>
      <protection hidden="1"/>
    </xf>
    <xf numFmtId="0" fontId="0" fillId="0" borderId="0" xfId="0" applyAlignment="1" applyProtection="1">
      <alignment vertical="center"/>
      <protection hidden="1"/>
    </xf>
    <xf numFmtId="0" fontId="14" fillId="0" borderId="0" xfId="0" applyFont="1" applyAlignment="1" applyProtection="1">
      <alignment horizontal="left" vertical="center"/>
      <protection hidden="1"/>
    </xf>
    <xf numFmtId="0" fontId="4" fillId="0" borderId="0" xfId="0" applyFont="1" applyAlignment="1" applyProtection="1">
      <alignment vertical="center"/>
      <protection hidden="1"/>
    </xf>
    <xf numFmtId="0" fontId="4" fillId="2" borderId="6" xfId="0" applyFont="1" applyFill="1" applyBorder="1" applyAlignment="1" applyProtection="1">
      <alignment vertical="center"/>
      <protection hidden="1"/>
    </xf>
    <xf numFmtId="0" fontId="4" fillId="2" borderId="0" xfId="0" applyFont="1" applyFill="1" applyAlignment="1" applyProtection="1">
      <alignment vertical="center"/>
      <protection hidden="1"/>
    </xf>
    <xf numFmtId="4" fontId="8" fillId="2" borderId="7" xfId="0" applyNumberFormat="1" applyFont="1" applyFill="1" applyBorder="1" applyAlignment="1" applyProtection="1">
      <alignment vertical="center"/>
      <protection hidden="1"/>
    </xf>
    <xf numFmtId="0" fontId="4" fillId="5" borderId="0" xfId="0" applyFont="1" applyFill="1" applyAlignment="1" applyProtection="1">
      <alignment vertical="center"/>
      <protection hidden="1"/>
    </xf>
    <xf numFmtId="0" fontId="4" fillId="4" borderId="0" xfId="0" applyFont="1" applyFill="1" applyProtection="1">
      <protection hidden="1"/>
    </xf>
    <xf numFmtId="0" fontId="5" fillId="4" borderId="0" xfId="0" applyFont="1" applyFill="1" applyAlignment="1" applyProtection="1">
      <alignment horizontal="center" vertical="center"/>
      <protection hidden="1"/>
    </xf>
    <xf numFmtId="0" fontId="4" fillId="2" borderId="7" xfId="0" applyFont="1" applyFill="1" applyBorder="1" applyAlignment="1" applyProtection="1">
      <alignment vertical="center"/>
      <protection hidden="1"/>
    </xf>
    <xf numFmtId="0" fontId="5" fillId="2" borderId="0" xfId="0" applyFont="1" applyFill="1" applyAlignment="1" applyProtection="1">
      <alignment horizontal="center" vertical="center"/>
      <protection hidden="1"/>
    </xf>
    <xf numFmtId="0" fontId="4" fillId="2" borderId="0" xfId="0" applyFont="1" applyFill="1" applyAlignment="1" applyProtection="1">
      <alignment horizontal="left" vertical="center" wrapText="1"/>
      <protection hidden="1"/>
    </xf>
    <xf numFmtId="0" fontId="4" fillId="2" borderId="0" xfId="0" applyFont="1" applyFill="1" applyAlignment="1" applyProtection="1">
      <alignment horizontal="center"/>
      <protection hidden="1"/>
    </xf>
    <xf numFmtId="164" fontId="5" fillId="3" borderId="0" xfId="0" applyNumberFormat="1" applyFont="1" applyFill="1" applyAlignment="1" applyProtection="1">
      <alignment horizontal="center" vertical="center"/>
      <protection hidden="1"/>
    </xf>
    <xf numFmtId="0" fontId="20" fillId="2" borderId="0" xfId="0" applyFont="1" applyFill="1" applyAlignment="1" applyProtection="1">
      <alignment vertical="center" wrapText="1"/>
      <protection hidden="1"/>
    </xf>
    <xf numFmtId="0" fontId="12" fillId="2" borderId="7" xfId="0" applyFont="1" applyFill="1" applyBorder="1" applyAlignment="1" applyProtection="1">
      <alignment vertical="center" wrapText="1"/>
      <protection hidden="1"/>
    </xf>
    <xf numFmtId="0" fontId="4" fillId="2" borderId="0" xfId="0" applyFont="1" applyFill="1" applyAlignment="1" applyProtection="1">
      <alignment horizontal="left" vertical="center"/>
      <protection hidden="1"/>
    </xf>
    <xf numFmtId="0" fontId="4" fillId="2" borderId="0" xfId="0" applyFont="1" applyFill="1" applyAlignment="1" applyProtection="1">
      <alignment horizontal="center" vertical="center"/>
      <protection hidden="1"/>
    </xf>
    <xf numFmtId="0" fontId="12" fillId="2" borderId="7" xfId="0" applyFont="1" applyFill="1" applyBorder="1" applyAlignment="1" applyProtection="1">
      <alignment vertical="center"/>
      <protection hidden="1"/>
    </xf>
    <xf numFmtId="0" fontId="12" fillId="2" borderId="0" xfId="0" applyFont="1" applyFill="1" applyAlignment="1" applyProtection="1">
      <alignment vertical="center"/>
      <protection hidden="1"/>
    </xf>
    <xf numFmtId="4" fontId="5" fillId="0" borderId="0" xfId="0" applyNumberFormat="1" applyFont="1" applyAlignment="1" applyProtection="1">
      <alignment horizontal="center" vertical="center"/>
      <protection hidden="1"/>
    </xf>
    <xf numFmtId="170" fontId="4" fillId="0" borderId="0" xfId="0" applyNumberFormat="1" applyFont="1" applyAlignment="1" applyProtection="1">
      <alignment vertical="center"/>
      <protection hidden="1"/>
    </xf>
    <xf numFmtId="4" fontId="5" fillId="3" borderId="0" xfId="0" applyNumberFormat="1" applyFont="1" applyFill="1" applyAlignment="1" applyProtection="1">
      <alignment horizontal="center" vertical="center"/>
      <protection hidden="1"/>
    </xf>
    <xf numFmtId="0" fontId="4" fillId="0" borderId="0" xfId="0" applyFont="1" applyAlignment="1" applyProtection="1">
      <alignment horizontal="left" vertical="top"/>
      <protection hidden="1"/>
    </xf>
    <xf numFmtId="0" fontId="4" fillId="2" borderId="11" xfId="0" applyFont="1" applyFill="1" applyBorder="1" applyAlignment="1" applyProtection="1">
      <alignment vertical="center"/>
      <protection hidden="1"/>
    </xf>
    <xf numFmtId="165" fontId="5" fillId="2" borderId="0" xfId="0" applyNumberFormat="1" applyFont="1" applyFill="1" applyAlignment="1" applyProtection="1">
      <alignment horizontal="center" vertical="center"/>
      <protection hidden="1"/>
    </xf>
    <xf numFmtId="167" fontId="4" fillId="5" borderId="0" xfId="0" applyNumberFormat="1" applyFont="1" applyFill="1" applyAlignment="1" applyProtection="1">
      <alignment horizontal="left" vertical="center"/>
      <protection hidden="1"/>
    </xf>
    <xf numFmtId="175" fontId="0" fillId="0" borderId="0" xfId="0" applyNumberFormat="1" applyAlignment="1" applyProtection="1">
      <alignment horizontal="center" vertical="center"/>
      <protection hidden="1"/>
    </xf>
    <xf numFmtId="166" fontId="0" fillId="0" borderId="0" xfId="16" applyNumberFormat="1" applyFont="1" applyAlignment="1" applyProtection="1">
      <alignment horizontal="left" vertical="center"/>
      <protection hidden="1"/>
    </xf>
    <xf numFmtId="0" fontId="0" fillId="0" borderId="0" xfId="0" applyProtection="1">
      <protection hidden="1"/>
    </xf>
    <xf numFmtId="0" fontId="14" fillId="0" borderId="0" xfId="0" applyFont="1" applyProtection="1">
      <protection hidden="1"/>
    </xf>
    <xf numFmtId="175" fontId="15" fillId="0" borderId="0" xfId="0" applyNumberFormat="1" applyFont="1" applyAlignment="1" applyProtection="1">
      <alignment horizontal="center" vertical="center"/>
      <protection hidden="1"/>
    </xf>
    <xf numFmtId="166" fontId="0" fillId="0" borderId="0" xfId="0" applyNumberFormat="1" applyAlignment="1" applyProtection="1">
      <alignment horizontal="left" vertical="center"/>
      <protection hidden="1"/>
    </xf>
    <xf numFmtId="0" fontId="15" fillId="8" borderId="2" xfId="0" applyFont="1" applyFill="1" applyBorder="1" applyAlignment="1" applyProtection="1">
      <alignment horizontal="center" vertical="center"/>
      <protection hidden="1"/>
    </xf>
    <xf numFmtId="0" fontId="0" fillId="0" borderId="2" xfId="0" applyBorder="1" applyAlignment="1" applyProtection="1">
      <alignment vertical="center"/>
      <protection hidden="1"/>
    </xf>
    <xf numFmtId="0" fontId="0" fillId="0" borderId="2" xfId="0" applyBorder="1" applyAlignment="1" applyProtection="1">
      <alignment horizontal="left" vertical="center"/>
      <protection hidden="1"/>
    </xf>
    <xf numFmtId="43" fontId="0" fillId="0" borderId="2" xfId="16" applyFont="1" applyFill="1" applyBorder="1" applyAlignment="1" applyProtection="1">
      <alignment horizontal="center" vertical="center"/>
      <protection hidden="1"/>
    </xf>
    <xf numFmtId="0" fontId="0" fillId="0" borderId="2" xfId="0" quotePrefix="1" applyBorder="1" applyAlignment="1" applyProtection="1">
      <alignment horizontal="center" vertical="center"/>
      <protection hidden="1"/>
    </xf>
    <xf numFmtId="0" fontId="18" fillId="0" borderId="2" xfId="15" applyBorder="1" applyAlignment="1" applyProtection="1">
      <alignment horizontal="center"/>
      <protection hidden="1"/>
    </xf>
    <xf numFmtId="0" fontId="15" fillId="0" borderId="2" xfId="0" applyFont="1" applyBorder="1" applyAlignment="1" applyProtection="1">
      <alignment horizontal="center" vertical="center"/>
      <protection hidden="1"/>
    </xf>
    <xf numFmtId="0" fontId="15" fillId="0" borderId="0" xfId="0" applyFont="1" applyAlignment="1" applyProtection="1">
      <alignment horizontal="left" vertical="center"/>
      <protection hidden="1"/>
    </xf>
    <xf numFmtId="166" fontId="0" fillId="0" borderId="0" xfId="16" applyNumberFormat="1" applyFont="1" applyAlignment="1" applyProtection="1">
      <alignment vertical="center"/>
      <protection hidden="1"/>
    </xf>
    <xf numFmtId="167" fontId="0" fillId="0" borderId="2" xfId="0" applyNumberFormat="1" applyBorder="1" applyAlignment="1" applyProtection="1">
      <alignment horizontal="center" vertical="center"/>
      <protection locked="0"/>
    </xf>
    <xf numFmtId="0" fontId="0" fillId="0" borderId="0" xfId="0" quotePrefix="1"/>
    <xf numFmtId="0" fontId="15" fillId="0" borderId="0" xfId="0" applyFont="1"/>
    <xf numFmtId="166" fontId="0" fillId="10" borderId="2" xfId="0" applyNumberFormat="1" applyFill="1" applyBorder="1" applyAlignment="1" applyProtection="1">
      <alignment horizontal="left" vertical="center"/>
      <protection hidden="1"/>
    </xf>
    <xf numFmtId="0" fontId="5" fillId="2" borderId="0" xfId="0" applyFont="1" applyFill="1" applyAlignment="1" applyProtection="1">
      <alignment horizontal="left" vertical="center"/>
      <protection hidden="1"/>
    </xf>
    <xf numFmtId="2" fontId="10" fillId="0" borderId="2" xfId="1" applyNumberFormat="1" applyFont="1" applyBorder="1" applyAlignment="1">
      <alignment horizontal="center" vertical="center"/>
    </xf>
    <xf numFmtId="176" fontId="13" fillId="0" borderId="0" xfId="0" applyNumberFormat="1" applyFont="1" applyAlignment="1">
      <alignment horizontal="center"/>
    </xf>
    <xf numFmtId="0" fontId="13" fillId="0" borderId="0" xfId="0" applyFont="1" applyAlignment="1">
      <alignment horizontal="center"/>
    </xf>
    <xf numFmtId="0" fontId="10" fillId="0" borderId="0" xfId="10" applyFont="1" applyAlignment="1" applyProtection="1">
      <alignment horizontal="right"/>
      <protection hidden="1"/>
    </xf>
    <xf numFmtId="0" fontId="13" fillId="0" borderId="0" xfId="0" applyFont="1"/>
    <xf numFmtId="1" fontId="10" fillId="0" borderId="0" xfId="10" applyNumberFormat="1" applyFont="1" applyAlignment="1" applyProtection="1">
      <alignment horizontal="center"/>
      <protection hidden="1"/>
    </xf>
    <xf numFmtId="1" fontId="10" fillId="0" borderId="0" xfId="10" applyNumberFormat="1" applyFont="1" applyAlignment="1" applyProtection="1">
      <alignment horizontal="right"/>
      <protection hidden="1"/>
    </xf>
    <xf numFmtId="0" fontId="17" fillId="0" borderId="0" xfId="0" applyFont="1" applyAlignment="1" applyProtection="1">
      <alignment vertical="top" wrapText="1"/>
      <protection hidden="1"/>
    </xf>
    <xf numFmtId="0" fontId="10" fillId="0" borderId="0" xfId="0" applyFont="1" applyAlignment="1" applyProtection="1">
      <alignment horizontal="center" vertical="top" wrapText="1"/>
      <protection hidden="1"/>
    </xf>
    <xf numFmtId="2" fontId="10" fillId="0" borderId="2" xfId="7" applyNumberFormat="1" applyFont="1" applyFill="1" applyBorder="1" applyAlignment="1">
      <alignment horizontal="center" vertical="center"/>
    </xf>
    <xf numFmtId="43" fontId="10" fillId="0" borderId="2" xfId="1" applyFont="1" applyFill="1" applyBorder="1" applyAlignment="1">
      <alignment horizontal="center" vertical="center"/>
    </xf>
    <xf numFmtId="174" fontId="10" fillId="0" borderId="2" xfId="7" applyNumberFormat="1" applyFont="1" applyFill="1" applyBorder="1" applyAlignment="1">
      <alignment horizontal="center" vertical="center"/>
    </xf>
    <xf numFmtId="43" fontId="10" fillId="0" borderId="2" xfId="7" applyFont="1" applyFill="1" applyBorder="1" applyAlignment="1">
      <alignment horizontal="right"/>
    </xf>
    <xf numFmtId="164" fontId="5" fillId="12" borderId="0" xfId="0" applyNumberFormat="1" applyFont="1" applyFill="1" applyAlignment="1" applyProtection="1">
      <alignment horizontal="left" vertical="center" wrapText="1"/>
      <protection locked="0"/>
    </xf>
    <xf numFmtId="0" fontId="4" fillId="2" borderId="0" xfId="0" applyFont="1" applyFill="1" applyAlignment="1" applyProtection="1">
      <alignment horizontal="center" vertical="center" wrapText="1"/>
      <protection hidden="1"/>
    </xf>
    <xf numFmtId="0" fontId="6" fillId="2" borderId="0" xfId="0" applyFont="1" applyFill="1" applyAlignment="1" applyProtection="1">
      <alignment horizontal="center"/>
      <protection hidden="1"/>
    </xf>
    <xf numFmtId="4" fontId="5" fillId="0" borderId="0" xfId="0" applyNumberFormat="1" applyFont="1" applyAlignment="1" applyProtection="1">
      <alignment horizontal="center" vertical="center"/>
      <protection hidden="1"/>
    </xf>
    <xf numFmtId="0" fontId="4" fillId="2" borderId="0" xfId="0" applyFont="1" applyFill="1" applyAlignment="1" applyProtection="1">
      <alignment horizontal="left" vertical="top" wrapText="1"/>
      <protection hidden="1"/>
    </xf>
    <xf numFmtId="169" fontId="5" fillId="11" borderId="0" xfId="0" applyNumberFormat="1" applyFont="1" applyFill="1" applyAlignment="1" applyProtection="1">
      <alignment vertical="center"/>
      <protection locked="0"/>
    </xf>
    <xf numFmtId="0" fontId="4" fillId="2" borderId="0" xfId="0" applyFont="1" applyFill="1" applyAlignment="1" applyProtection="1">
      <alignment horizontal="left" vertical="center"/>
      <protection hidden="1"/>
    </xf>
    <xf numFmtId="168" fontId="5" fillId="2" borderId="0" xfId="0" applyNumberFormat="1" applyFont="1" applyFill="1" applyAlignment="1" applyProtection="1">
      <alignment horizontal="center" vertical="center"/>
      <protection hidden="1"/>
    </xf>
    <xf numFmtId="168" fontId="5" fillId="2" borderId="0" xfId="0" applyNumberFormat="1" applyFont="1" applyFill="1" applyAlignment="1" applyProtection="1">
      <alignment horizontal="right" vertical="center"/>
      <protection hidden="1"/>
    </xf>
    <xf numFmtId="168" fontId="5" fillId="2" borderId="1" xfId="0" applyNumberFormat="1" applyFont="1" applyFill="1" applyBorder="1" applyAlignment="1" applyProtection="1">
      <alignment horizontal="center" vertical="center"/>
      <protection hidden="1"/>
    </xf>
    <xf numFmtId="0" fontId="12" fillId="2" borderId="0" xfId="0" applyFont="1" applyFill="1" applyAlignment="1" applyProtection="1">
      <alignment horizontal="center" vertical="center"/>
      <protection hidden="1"/>
    </xf>
    <xf numFmtId="0" fontId="12" fillId="2" borderId="0" xfId="0" applyFont="1" applyFill="1" applyAlignment="1" applyProtection="1">
      <alignment horizontal="center" vertical="center" wrapText="1"/>
      <protection hidden="1"/>
    </xf>
    <xf numFmtId="0" fontId="4" fillId="13" borderId="3" xfId="0" applyFont="1" applyFill="1" applyBorder="1" applyAlignment="1" applyProtection="1">
      <alignment horizontal="center" vertical="center"/>
      <protection hidden="1"/>
    </xf>
    <xf numFmtId="0" fontId="4" fillId="13" borderId="4" xfId="0" applyFont="1" applyFill="1" applyBorder="1" applyAlignment="1" applyProtection="1">
      <alignment horizontal="center" vertical="center"/>
      <protection hidden="1"/>
    </xf>
    <xf numFmtId="0" fontId="4" fillId="13" borderId="5" xfId="0" applyFont="1" applyFill="1" applyBorder="1" applyAlignment="1" applyProtection="1">
      <alignment horizontal="center" vertical="center"/>
      <protection hidden="1"/>
    </xf>
    <xf numFmtId="0" fontId="4" fillId="13" borderId="6" xfId="0" applyFont="1" applyFill="1" applyBorder="1" applyAlignment="1" applyProtection="1">
      <alignment horizontal="center" vertical="center"/>
      <protection hidden="1"/>
    </xf>
    <xf numFmtId="0" fontId="4" fillId="13" borderId="0" xfId="0" applyFont="1" applyFill="1" applyAlignment="1" applyProtection="1">
      <alignment horizontal="center" vertical="center"/>
      <protection hidden="1"/>
    </xf>
    <xf numFmtId="0" fontId="4" fillId="13" borderId="7" xfId="0" applyFont="1" applyFill="1" applyBorder="1" applyAlignment="1" applyProtection="1">
      <alignment horizontal="center" vertical="center"/>
      <protection hidden="1"/>
    </xf>
    <xf numFmtId="0" fontId="4" fillId="13" borderId="8" xfId="0" applyFont="1" applyFill="1" applyBorder="1" applyAlignment="1" applyProtection="1">
      <alignment horizontal="center" vertical="center"/>
      <protection hidden="1"/>
    </xf>
    <xf numFmtId="0" fontId="4" fillId="13" borderId="9" xfId="0" applyFont="1" applyFill="1" applyBorder="1" applyAlignment="1" applyProtection="1">
      <alignment horizontal="center" vertical="center"/>
      <protection hidden="1"/>
    </xf>
    <xf numFmtId="0" fontId="4" fillId="13" borderId="10" xfId="0" applyFont="1" applyFill="1" applyBorder="1" applyAlignment="1" applyProtection="1">
      <alignment horizontal="center" vertical="center"/>
      <protection hidden="1"/>
    </xf>
    <xf numFmtId="0" fontId="5" fillId="4" borderId="0" xfId="0" applyFont="1" applyFill="1" applyAlignment="1" applyProtection="1">
      <alignment horizontal="center" vertical="center"/>
      <protection hidden="1"/>
    </xf>
    <xf numFmtId="0" fontId="5" fillId="11" borderId="0" xfId="1" applyNumberFormat="1" applyFont="1" applyFill="1" applyBorder="1" applyAlignment="1" applyProtection="1">
      <alignment horizontal="center" vertical="center"/>
      <protection locked="0"/>
    </xf>
    <xf numFmtId="0" fontId="4" fillId="4" borderId="0" xfId="0" applyFont="1" applyFill="1" applyAlignment="1" applyProtection="1">
      <alignment horizontal="left" wrapText="1"/>
      <protection hidden="1"/>
    </xf>
    <xf numFmtId="0" fontId="4" fillId="2" borderId="0" xfId="0" applyFont="1" applyFill="1" applyAlignment="1" applyProtection="1">
      <alignment horizontal="left" vertical="center" wrapText="1"/>
      <protection hidden="1"/>
    </xf>
    <xf numFmtId="164" fontId="5" fillId="11" borderId="0" xfId="0" applyNumberFormat="1" applyFont="1" applyFill="1" applyAlignment="1" applyProtection="1">
      <alignment horizontal="center" vertical="center"/>
      <protection locked="0"/>
    </xf>
    <xf numFmtId="164" fontId="5" fillId="12" borderId="0" xfId="0" applyNumberFormat="1" applyFont="1" applyFill="1" applyAlignment="1" applyProtection="1">
      <alignment horizontal="left" vertical="center"/>
      <protection locked="0"/>
    </xf>
    <xf numFmtId="164" fontId="5" fillId="11" borderId="0" xfId="0" applyNumberFormat="1" applyFont="1" applyFill="1" applyAlignment="1" applyProtection="1">
      <alignment horizontal="left" vertical="center"/>
      <protection locked="0"/>
    </xf>
    <xf numFmtId="0" fontId="15" fillId="7" borderId="2" xfId="6" applyFont="1" applyFill="1" applyBorder="1" applyAlignment="1">
      <alignment horizontal="center" vertical="center"/>
    </xf>
    <xf numFmtId="0" fontId="15" fillId="7" borderId="2" xfId="6" applyFont="1" applyFill="1" applyBorder="1" applyAlignment="1">
      <alignment horizontal="center" vertical="top"/>
    </xf>
    <xf numFmtId="0" fontId="16" fillId="5" borderId="16" xfId="0" applyFont="1" applyFill="1" applyBorder="1" applyAlignment="1">
      <alignment horizontal="center" vertical="center"/>
    </xf>
    <xf numFmtId="0" fontId="16" fillId="5" borderId="18" xfId="0" applyFont="1" applyFill="1" applyBorder="1" applyAlignment="1">
      <alignment horizontal="center" vertical="center"/>
    </xf>
    <xf numFmtId="0" fontId="16" fillId="6" borderId="16" xfId="0" quotePrefix="1" applyFont="1" applyFill="1" applyBorder="1" applyAlignment="1" applyProtection="1">
      <alignment horizontal="left" vertical="center"/>
      <protection locked="0"/>
    </xf>
    <xf numFmtId="0" fontId="16" fillId="6" borderId="17" xfId="0" quotePrefix="1" applyFont="1" applyFill="1" applyBorder="1" applyAlignment="1" applyProtection="1">
      <alignment horizontal="left" vertical="center"/>
      <protection locked="0"/>
    </xf>
    <xf numFmtId="0" fontId="16" fillId="6" borderId="18" xfId="0" quotePrefix="1" applyFont="1" applyFill="1" applyBorder="1" applyAlignment="1" applyProtection="1">
      <alignment horizontal="left" vertical="center"/>
      <protection locked="0"/>
    </xf>
    <xf numFmtId="173" fontId="16" fillId="6" borderId="16" xfId="5" quotePrefix="1" applyNumberFormat="1" applyFont="1" applyFill="1" applyBorder="1" applyAlignment="1" applyProtection="1">
      <alignment horizontal="left" vertical="center"/>
      <protection locked="0"/>
    </xf>
    <xf numFmtId="173" fontId="16" fillId="6" borderId="17" xfId="5" quotePrefix="1" applyNumberFormat="1" applyFont="1" applyFill="1" applyBorder="1" applyAlignment="1" applyProtection="1">
      <alignment horizontal="left" vertical="center"/>
      <protection locked="0"/>
    </xf>
    <xf numFmtId="173" fontId="16" fillId="6" borderId="18" xfId="5" quotePrefix="1" applyNumberFormat="1" applyFont="1" applyFill="1" applyBorder="1" applyAlignment="1" applyProtection="1">
      <alignment horizontal="left" vertical="center"/>
      <protection locked="0"/>
    </xf>
    <xf numFmtId="0" fontId="10" fillId="0" borderId="0" xfId="10" applyFont="1" applyAlignment="1" applyProtection="1">
      <alignment horizontal="center"/>
      <protection hidden="1"/>
    </xf>
    <xf numFmtId="0" fontId="10" fillId="0" borderId="0" xfId="0" applyFont="1" applyAlignment="1" applyProtection="1">
      <alignment horizontal="left" vertical="top" wrapText="1"/>
      <protection hidden="1"/>
    </xf>
    <xf numFmtId="0" fontId="22" fillId="0" borderId="0" xfId="0" applyFont="1" applyAlignment="1" applyProtection="1">
      <alignment horizontal="left" vertical="top" wrapText="1"/>
      <protection hidden="1"/>
    </xf>
    <xf numFmtId="0" fontId="15" fillId="8" borderId="2" xfId="0" applyFont="1" applyFill="1" applyBorder="1" applyAlignment="1" applyProtection="1">
      <alignment horizontal="center" vertical="center" wrapText="1"/>
      <protection hidden="1"/>
    </xf>
    <xf numFmtId="0" fontId="15" fillId="8" borderId="2" xfId="0" applyFont="1" applyFill="1" applyBorder="1" applyAlignment="1" applyProtection="1">
      <alignment horizontal="center" vertical="center"/>
      <protection hidden="1"/>
    </xf>
    <xf numFmtId="0" fontId="19" fillId="8" borderId="2" xfId="0" applyFont="1" applyFill="1" applyBorder="1" applyAlignment="1" applyProtection="1">
      <alignment horizontal="center" vertical="center" wrapText="1"/>
      <protection hidden="1"/>
    </xf>
    <xf numFmtId="0" fontId="15" fillId="8" borderId="21" xfId="0" applyFont="1" applyFill="1" applyBorder="1" applyAlignment="1" applyProtection="1">
      <alignment horizontal="center" vertical="center"/>
      <protection hidden="1"/>
    </xf>
    <xf numFmtId="0" fontId="15" fillId="8" borderId="22" xfId="0" applyFont="1" applyFill="1" applyBorder="1" applyAlignment="1" applyProtection="1">
      <alignment horizontal="center" vertical="center"/>
      <protection hidden="1"/>
    </xf>
    <xf numFmtId="175" fontId="15" fillId="8" borderId="2" xfId="0" applyNumberFormat="1" applyFont="1" applyFill="1" applyBorder="1" applyAlignment="1" applyProtection="1">
      <alignment horizontal="center" vertical="center" wrapText="1"/>
      <protection hidden="1"/>
    </xf>
    <xf numFmtId="175" fontId="15" fillId="8" borderId="2" xfId="0" applyNumberFormat="1" applyFont="1" applyFill="1" applyBorder="1" applyAlignment="1" applyProtection="1">
      <alignment horizontal="center" vertical="center"/>
      <protection hidden="1"/>
    </xf>
    <xf numFmtId="0" fontId="15" fillId="9" borderId="21" xfId="0" applyFont="1" applyFill="1" applyBorder="1" applyAlignment="1" applyProtection="1">
      <alignment horizontal="center" vertical="center" wrapText="1"/>
      <protection hidden="1"/>
    </xf>
    <xf numFmtId="0" fontId="15" fillId="9" borderId="22" xfId="0" applyFont="1" applyFill="1" applyBorder="1" applyAlignment="1" applyProtection="1">
      <alignment horizontal="center" vertical="center" wrapText="1"/>
      <protection hidden="1"/>
    </xf>
    <xf numFmtId="166" fontId="15" fillId="8" borderId="2" xfId="16" applyNumberFormat="1" applyFont="1" applyFill="1" applyBorder="1" applyAlignment="1" applyProtection="1">
      <alignment horizontal="center" vertical="center"/>
      <protection hidden="1"/>
    </xf>
    <xf numFmtId="0" fontId="15" fillId="9" borderId="2" xfId="0" applyFont="1" applyFill="1" applyBorder="1" applyAlignment="1" applyProtection="1">
      <alignment horizontal="center" vertical="center" wrapText="1"/>
      <protection hidden="1"/>
    </xf>
    <xf numFmtId="0" fontId="15" fillId="9" borderId="2" xfId="0" applyFont="1" applyFill="1" applyBorder="1" applyAlignment="1" applyProtection="1">
      <alignment horizontal="center" vertical="center"/>
      <protection hidden="1"/>
    </xf>
  </cellXfs>
  <cellStyles count="17">
    <cellStyle name="Comma" xfId="1" builtinId="3"/>
    <cellStyle name="Comma 2" xfId="11" xr:uid="{00000000-0005-0000-0000-000001000000}"/>
    <cellStyle name="Comma 2 2" xfId="4" xr:uid="{00000000-0005-0000-0000-000002000000}"/>
    <cellStyle name="Comma 2 3" xfId="8" xr:uid="{00000000-0005-0000-0000-000003000000}"/>
    <cellStyle name="Comma 2 4" xfId="2" xr:uid="{00000000-0005-0000-0000-000004000000}"/>
    <cellStyle name="Comma 2 5" xfId="9" xr:uid="{00000000-0005-0000-0000-000005000000}"/>
    <cellStyle name="Comma 3" xfId="7" xr:uid="{00000000-0005-0000-0000-000006000000}"/>
    <cellStyle name="Comma 4" xfId="16" xr:uid="{9A583869-4572-4552-8CD5-082B8F8E1DB4}"/>
    <cellStyle name="Currency [0] 2" xfId="12" xr:uid="{35FA96F7-DECF-48F4-AABD-CAC045BC8EAB}"/>
    <cellStyle name="Hyperlink" xfId="15" builtinId="8"/>
    <cellStyle name="Normal" xfId="0" builtinId="0"/>
    <cellStyle name="Normal 2" xfId="3" xr:uid="{00000000-0005-0000-0000-000008000000}"/>
    <cellStyle name="Normal 2 2" xfId="13" xr:uid="{34945794-3CDC-47CA-AD18-FEB372EBFB4C}"/>
    <cellStyle name="Normal 3" xfId="6" xr:uid="{00000000-0005-0000-0000-000009000000}"/>
    <cellStyle name="Normal 4" xfId="10" xr:uid="{00000000-0005-0000-0000-00000A000000}"/>
    <cellStyle name="Percent" xfId="14" builtinId="5"/>
    <cellStyle name="Percent 2" xfId="5" xr:uid="{00000000-0005-0000-0000-00000B000000}"/>
  </cellStyles>
  <dxfs count="10">
    <dxf>
      <numFmt numFmtId="177" formatCode="_-* #,##0_-;\-* #,##0_-;_-* &quot;-&quot;_-;_-@_-"/>
    </dxf>
    <dxf>
      <numFmt numFmtId="177" formatCode="_-* #,##0_-;\-* #,##0_-;_-* &quot;-&quot;_-;_-@_-"/>
    </dxf>
    <dxf>
      <font>
        <b/>
        <i val="0"/>
        <condense val="0"/>
        <extend val="0"/>
      </font>
      <fill>
        <patternFill>
          <bgColor indexed="40"/>
        </patternFill>
      </fill>
      <border>
        <left/>
        <right/>
        <top/>
        <bottom/>
      </border>
    </dxf>
    <dxf>
      <numFmt numFmtId="177" formatCode="_-* #,##0_-;\-* #,##0_-;_-* &quot;-&quot;_-;_-@_-"/>
    </dxf>
    <dxf>
      <numFmt numFmtId="177" formatCode="_-* #,##0_-;\-* #,##0_-;_-* &quot;-&quot;_-;_-@_-"/>
    </dxf>
    <dxf>
      <font>
        <b/>
        <i val="0"/>
        <condense val="0"/>
        <extend val="0"/>
      </font>
      <fill>
        <patternFill>
          <bgColor indexed="40"/>
        </patternFill>
      </fill>
      <border>
        <left/>
        <right/>
        <top/>
        <bottom/>
      </border>
    </dxf>
    <dxf>
      <numFmt numFmtId="177" formatCode="_-* #,##0_-;\-* #,##0_-;_-* &quot;-&quot;_-;_-@_-"/>
    </dxf>
    <dxf>
      <numFmt numFmtId="177" formatCode="_-* #,##0_-;\-* #,##0_-;_-* &quot;-&quot;_-;_-@_-"/>
    </dxf>
    <dxf>
      <font>
        <b/>
        <i val="0"/>
        <condense val="0"/>
        <extend val="0"/>
      </font>
      <fill>
        <patternFill>
          <bgColor indexed="40"/>
        </patternFill>
      </fill>
      <border>
        <left/>
        <right/>
        <top/>
        <bottom/>
      </border>
    </dxf>
    <dxf>
      <font>
        <color rgb="FFFF0000"/>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externalLink" Target="externalLinks/externalLink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ctrlProps/ctrlProp1.xml><?xml version="1.0" encoding="utf-8"?>
<formControlPr xmlns="http://schemas.microsoft.com/office/spreadsheetml/2009/9/main" objectType="CheckBox" checked="Checked" fmlaLink="$AS$39" lockText="1" noThreeD="1"/>
</file>

<file path=xl/ctrlProps/ctrlProp2.xml><?xml version="1.0" encoding="utf-8"?>
<formControlPr xmlns="http://schemas.microsoft.com/office/spreadsheetml/2009/9/main" objectType="CheckBox" fmlaLink="$AS$40" lockText="1" noThreeD="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95250</xdr:colOff>
          <xdr:row>2</xdr:row>
          <xdr:rowOff>152400</xdr:rowOff>
        </xdr:from>
        <xdr:to>
          <xdr:col>6</xdr:col>
          <xdr:colOff>209550</xdr:colOff>
          <xdr:row>4</xdr:row>
          <xdr:rowOff>0</xdr:rowOff>
        </xdr:to>
        <xdr:sp macro="" textlink="">
          <xdr:nvSpPr>
            <xdr:cNvPr id="3075" name="Check Box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Dec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476250</xdr:colOff>
          <xdr:row>2</xdr:row>
          <xdr:rowOff>152400</xdr:rowOff>
        </xdr:from>
        <xdr:to>
          <xdr:col>7</xdr:col>
          <xdr:colOff>590550</xdr:colOff>
          <xdr:row>4</xdr:row>
          <xdr:rowOff>0</xdr:rowOff>
        </xdr:to>
        <xdr:sp macro="" textlink="">
          <xdr:nvSpPr>
            <xdr:cNvPr id="3076" name="Check Box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Flat</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1165412</xdr:colOff>
      <xdr:row>6</xdr:row>
      <xdr:rowOff>54426</xdr:rowOff>
    </xdr:from>
    <xdr:to>
      <xdr:col>9</xdr:col>
      <xdr:colOff>301207</xdr:colOff>
      <xdr:row>10</xdr:row>
      <xdr:rowOff>107576</xdr:rowOff>
    </xdr:to>
    <xdr:pic>
      <xdr:nvPicPr>
        <xdr:cNvPr id="1025" name="Picture 149" descr="LOGO-ASJ-HDR.png">
          <a:extLst>
            <a:ext uri="{FF2B5EF4-FFF2-40B4-BE49-F238E27FC236}">
              <a16:creationId xmlns:a16="http://schemas.microsoft.com/office/drawing/2014/main" id="{00000000-0008-0000-0200-000001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0605247" y="1255697"/>
          <a:ext cx="2470666" cy="842044"/>
        </a:xfrm>
        <a:prstGeom prst="rect">
          <a:avLst/>
        </a:prstGeom>
        <a:noFill/>
        <a:ln w="9525">
          <a:noFill/>
          <a:miter lim="800000"/>
          <a:headEnd/>
          <a:tailEnd/>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92.168.10.67\pricing-act\Product%20Pricing\2022\Others%20(Adhoc)\Kalkulator%20AJK\BPR%20KUD%20Mintorogo\Kalkulator%20Premi%20AJK%20TL%20Dec%20KSP%20KUD%20Mintorogo.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ARIP "/>
      <sheetName val="Ilustrasi"/>
      <sheetName val="Medic"/>
      <sheetName val="UAT"/>
      <sheetName val="Sheet1"/>
    </sheetNames>
    <sheetDataSet>
      <sheetData sheetId="0">
        <row r="4">
          <cell r="K4">
            <v>0</v>
          </cell>
          <cell r="L4">
            <v>0</v>
          </cell>
        </row>
        <row r="5">
          <cell r="K5">
            <v>1</v>
          </cell>
          <cell r="L5">
            <v>1</v>
          </cell>
        </row>
        <row r="6">
          <cell r="K6">
            <v>2</v>
          </cell>
          <cell r="L6">
            <v>2</v>
          </cell>
        </row>
        <row r="7">
          <cell r="K7">
            <v>3</v>
          </cell>
          <cell r="L7">
            <v>3</v>
          </cell>
        </row>
        <row r="8">
          <cell r="K8">
            <v>4</v>
          </cell>
          <cell r="L8">
            <v>4</v>
          </cell>
        </row>
        <row r="9">
          <cell r="K9">
            <v>5</v>
          </cell>
          <cell r="L9">
            <v>5</v>
          </cell>
        </row>
        <row r="10">
          <cell r="K10">
            <v>6</v>
          </cell>
          <cell r="L10">
            <v>6</v>
          </cell>
        </row>
        <row r="11">
          <cell r="K11">
            <v>7</v>
          </cell>
          <cell r="L11">
            <v>7</v>
          </cell>
        </row>
        <row r="12">
          <cell r="K12">
            <v>8</v>
          </cell>
          <cell r="L12">
            <v>8</v>
          </cell>
        </row>
        <row r="13">
          <cell r="K13">
            <v>9</v>
          </cell>
          <cell r="L13">
            <v>9</v>
          </cell>
        </row>
        <row r="14">
          <cell r="K14" t="str">
            <v/>
          </cell>
          <cell r="L14">
            <v>10</v>
          </cell>
        </row>
        <row r="15">
          <cell r="K15" t="str">
            <v/>
          </cell>
          <cell r="L15">
            <v>11</v>
          </cell>
        </row>
        <row r="16">
          <cell r="K16" t="str">
            <v/>
          </cell>
        </row>
        <row r="17">
          <cell r="K17" t="str">
            <v/>
          </cell>
        </row>
        <row r="18">
          <cell r="K18" t="str">
            <v/>
          </cell>
        </row>
        <row r="19">
          <cell r="K19" t="str">
            <v/>
          </cell>
        </row>
        <row r="20">
          <cell r="K20" t="str">
            <v/>
          </cell>
        </row>
        <row r="21">
          <cell r="K21" t="str">
            <v/>
          </cell>
        </row>
        <row r="22">
          <cell r="K22" t="str">
            <v/>
          </cell>
        </row>
        <row r="23">
          <cell r="K23" t="str">
            <v/>
          </cell>
        </row>
        <row r="24">
          <cell r="K24" t="str">
            <v/>
          </cell>
        </row>
      </sheetData>
      <sheetData sheetId="1"/>
      <sheetData sheetId="2"/>
      <sheetData sheetId="3"/>
      <sheetData sheetId="4"/>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hyperlink" Target="mailto:poajk@simasjiwa.co.id" TargetMode="External"/><Relationship Id="rId7" Type="http://schemas.openxmlformats.org/officeDocument/2006/relationships/printerSettings" Target="../printerSettings/printerSettings1.bin"/><Relationship Id="rId2" Type="http://schemas.openxmlformats.org/officeDocument/2006/relationships/hyperlink" Target="mailto:digital@simasjiwa.co.id" TargetMode="External"/><Relationship Id="rId1" Type="http://schemas.openxmlformats.org/officeDocument/2006/relationships/hyperlink" Target="mailto:direct.sales@simasjiwa.co.id" TargetMode="External"/><Relationship Id="rId6" Type="http://schemas.openxmlformats.org/officeDocument/2006/relationships/hyperlink" Target="mailto:poajk@simasjiwa.co.id" TargetMode="External"/><Relationship Id="rId11" Type="http://schemas.openxmlformats.org/officeDocument/2006/relationships/ctrlProp" Target="../ctrlProps/ctrlProp2.xml"/><Relationship Id="rId5" Type="http://schemas.openxmlformats.org/officeDocument/2006/relationships/hyperlink" Target="mailto:bancassurance@simasjiwa.co.id" TargetMode="External"/><Relationship Id="rId10" Type="http://schemas.openxmlformats.org/officeDocument/2006/relationships/ctrlProp" Target="../ctrlProps/ctrlProp1.xml"/><Relationship Id="rId4" Type="http://schemas.openxmlformats.org/officeDocument/2006/relationships/hyperlink" Target="mailto:syariah.div@simasjiwa.co.id" TargetMode="External"/><Relationship Id="rId9"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hyperlink" Target="mailto:ccc@gmail.com" TargetMode="External"/><Relationship Id="rId2" Type="http://schemas.openxmlformats.org/officeDocument/2006/relationships/hyperlink" Target="mailto:bbb@gmail.com" TargetMode="External"/><Relationship Id="rId1" Type="http://schemas.openxmlformats.org/officeDocument/2006/relationships/hyperlink" Target="mailto:aaa@gmail.com" TargetMode="External"/><Relationship Id="rId6" Type="http://schemas.openxmlformats.org/officeDocument/2006/relationships/printerSettings" Target="../printerSettings/printerSettings4.bin"/><Relationship Id="rId5" Type="http://schemas.openxmlformats.org/officeDocument/2006/relationships/hyperlink" Target="mailto:eee@gmail.com" TargetMode="External"/><Relationship Id="rId4" Type="http://schemas.openxmlformats.org/officeDocument/2006/relationships/hyperlink" Target="mailto:ddd@gmail.com"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E6C1DB-B705-44C5-AC8D-83F8642E2D3F}">
  <sheetPr codeName="Sheet3"/>
  <dimension ref="B2:BG174"/>
  <sheetViews>
    <sheetView zoomScale="90" zoomScaleNormal="90" workbookViewId="0"/>
  </sheetViews>
  <sheetFormatPr defaultRowHeight="14.5" x14ac:dyDescent="0.35"/>
  <cols>
    <col min="2" max="2" width="3.1796875" customWidth="1"/>
    <col min="3" max="4" width="15.26953125" customWidth="1"/>
    <col min="5" max="5" width="3.1796875" customWidth="1"/>
    <col min="10" max="10" width="3.1796875" customWidth="1"/>
  </cols>
  <sheetData>
    <row r="2" spans="2:45" x14ac:dyDescent="0.35">
      <c r="L2" s="91" t="s">
        <v>88</v>
      </c>
    </row>
    <row r="3" spans="2:45" x14ac:dyDescent="0.35">
      <c r="B3" s="4"/>
      <c r="C3" s="5"/>
      <c r="D3" s="5"/>
      <c r="E3" s="5"/>
      <c r="F3" s="5"/>
      <c r="G3" s="5"/>
      <c r="H3" s="5"/>
      <c r="I3" s="5"/>
      <c r="J3" s="6"/>
      <c r="L3" s="135" t="s">
        <v>44</v>
      </c>
      <c r="M3" s="136" t="s">
        <v>45</v>
      </c>
      <c r="N3" s="136"/>
      <c r="O3" s="136"/>
      <c r="P3" s="136"/>
      <c r="Q3" s="136"/>
      <c r="R3" s="136"/>
      <c r="S3" s="136"/>
      <c r="T3" s="136"/>
      <c r="U3" s="136"/>
      <c r="V3" s="136"/>
      <c r="W3" s="136"/>
      <c r="X3" s="136"/>
      <c r="Y3" s="136"/>
      <c r="Z3" s="136"/>
      <c r="AA3" s="136"/>
      <c r="AB3" s="136"/>
      <c r="AC3" s="136"/>
      <c r="AD3" s="136"/>
      <c r="AE3" s="136"/>
      <c r="AF3" s="136"/>
      <c r="AG3" s="136"/>
      <c r="AH3" s="136"/>
      <c r="AI3" s="136"/>
      <c r="AJ3" s="136"/>
      <c r="AK3" s="136"/>
      <c r="AL3" s="136"/>
      <c r="AM3" s="136"/>
      <c r="AN3" s="136"/>
      <c r="AO3" s="136"/>
      <c r="AP3" s="136"/>
      <c r="AR3" s="28" t="s">
        <v>0</v>
      </c>
      <c r="AS3" s="28" t="s">
        <v>46</v>
      </c>
    </row>
    <row r="4" spans="2:45" x14ac:dyDescent="0.35">
      <c r="B4" s="7"/>
      <c r="C4" s="8" t="s">
        <v>90</v>
      </c>
      <c r="D4" s="9"/>
      <c r="E4" s="9"/>
      <c r="F4" s="9"/>
      <c r="G4" s="9"/>
      <c r="H4" s="9"/>
      <c r="I4" s="9"/>
      <c r="J4" s="10"/>
      <c r="L4" s="135"/>
      <c r="M4" s="23">
        <v>1</v>
      </c>
      <c r="N4" s="23">
        <v>2</v>
      </c>
      <c r="O4" s="23">
        <v>3</v>
      </c>
      <c r="P4" s="23">
        <v>4</v>
      </c>
      <c r="Q4" s="23">
        <v>5</v>
      </c>
      <c r="R4" s="23">
        <v>6</v>
      </c>
      <c r="S4" s="23">
        <v>7</v>
      </c>
      <c r="T4" s="23">
        <v>8</v>
      </c>
      <c r="U4" s="23">
        <v>9</v>
      </c>
      <c r="V4" s="23">
        <v>10</v>
      </c>
      <c r="W4" s="23">
        <v>11</v>
      </c>
      <c r="X4" s="23">
        <v>12</v>
      </c>
      <c r="Y4" s="23">
        <v>13</v>
      </c>
      <c r="Z4" s="23">
        <v>14</v>
      </c>
      <c r="AA4" s="23">
        <v>15</v>
      </c>
      <c r="AB4" s="23">
        <v>16</v>
      </c>
      <c r="AC4" s="23">
        <v>17</v>
      </c>
      <c r="AD4" s="23">
        <v>18</v>
      </c>
      <c r="AE4" s="23">
        <v>19</v>
      </c>
      <c r="AF4" s="23">
        <v>20</v>
      </c>
      <c r="AG4" s="23">
        <v>21</v>
      </c>
      <c r="AH4" s="23">
        <v>22</v>
      </c>
      <c r="AI4" s="23">
        <v>23</v>
      </c>
      <c r="AJ4" s="23">
        <v>24</v>
      </c>
      <c r="AK4" s="23">
        <v>25</v>
      </c>
      <c r="AL4" s="23">
        <v>26</v>
      </c>
      <c r="AM4" s="23">
        <v>27</v>
      </c>
      <c r="AN4" s="23">
        <v>28</v>
      </c>
      <c r="AO4" s="23">
        <v>29</v>
      </c>
      <c r="AP4" s="23">
        <v>30</v>
      </c>
      <c r="AR4" s="28">
        <v>1</v>
      </c>
      <c r="AS4" s="27">
        <v>0.2</v>
      </c>
    </row>
    <row r="5" spans="2:45" x14ac:dyDescent="0.35">
      <c r="B5" s="7"/>
      <c r="C5" s="8"/>
      <c r="D5" s="9"/>
      <c r="E5" s="9"/>
      <c r="F5" s="9"/>
      <c r="G5" s="9"/>
      <c r="H5" s="9"/>
      <c r="I5" s="9"/>
      <c r="J5" s="10"/>
      <c r="L5" s="24" t="str">
        <f>IF(AND(ROW(K5)+12&gt;=$G$11,ROW(K5)+12&lt;=$I$11),ROW(K5)+12,"")</f>
        <v/>
      </c>
      <c r="M5" s="26">
        <f>IF('Simulasi Premi 1 (Personal)'!$E$38="Menurun",'Spek Produk'!M63,'Spek Produk'!M121)</f>
        <v>0</v>
      </c>
      <c r="N5" s="26">
        <f>IF('Simulasi Premi 1 (Personal)'!$E$38="Menurun",'Spek Produk'!N63,'Spek Produk'!N121)</f>
        <v>0</v>
      </c>
      <c r="O5" s="26">
        <f>IF('Simulasi Premi 1 (Personal)'!$E$38="Menurun",'Spek Produk'!O63,'Spek Produk'!O121)</f>
        <v>0</v>
      </c>
      <c r="P5" s="26">
        <f>IF('Simulasi Premi 1 (Personal)'!$E$38="Menurun",'Spek Produk'!P63,'Spek Produk'!P121)</f>
        <v>0</v>
      </c>
      <c r="Q5" s="26">
        <f>IF('Simulasi Premi 1 (Personal)'!$E$38="Menurun",'Spek Produk'!Q63,'Spek Produk'!Q121)</f>
        <v>0</v>
      </c>
      <c r="R5" s="26">
        <f>IF('Simulasi Premi 1 (Personal)'!$E$38="Menurun",'Spek Produk'!R63,'Spek Produk'!R121)</f>
        <v>0</v>
      </c>
      <c r="S5" s="26">
        <f>IF('Simulasi Premi 1 (Personal)'!$E$38="Menurun",'Spek Produk'!S63,'Spek Produk'!S121)</f>
        <v>0</v>
      </c>
      <c r="T5" s="26">
        <f>IF('Simulasi Premi 1 (Personal)'!$E$38="Menurun",'Spek Produk'!T63,'Spek Produk'!T121)</f>
        <v>0</v>
      </c>
      <c r="U5" s="26">
        <f>IF('Simulasi Premi 1 (Personal)'!$E$38="Menurun",'Spek Produk'!U63,'Spek Produk'!U121)</f>
        <v>0</v>
      </c>
      <c r="V5" s="26">
        <f>IF('Simulasi Premi 1 (Personal)'!$E$38="Menurun",'Spek Produk'!V63,'Spek Produk'!V121)</f>
        <v>0</v>
      </c>
      <c r="W5" s="26">
        <f>IF('Simulasi Premi 1 (Personal)'!$E$38="Menurun",'Spek Produk'!W63,'Spek Produk'!W121)</f>
        <v>0</v>
      </c>
      <c r="X5" s="26">
        <f>IF('Simulasi Premi 1 (Personal)'!$E$38="Menurun",'Spek Produk'!X63,'Spek Produk'!X121)</f>
        <v>0</v>
      </c>
      <c r="Y5" s="26">
        <f>IF('Simulasi Premi 1 (Personal)'!$E$38="Menurun",'Spek Produk'!Y63,'Spek Produk'!Y121)</f>
        <v>0</v>
      </c>
      <c r="Z5" s="26">
        <f>IF('Simulasi Premi 1 (Personal)'!$E$38="Menurun",'Spek Produk'!Z63,'Spek Produk'!Z121)</f>
        <v>0</v>
      </c>
      <c r="AA5" s="26">
        <f>IF('Simulasi Premi 1 (Personal)'!$E$38="Menurun",'Spek Produk'!AA63,'Spek Produk'!AA121)</f>
        <v>0</v>
      </c>
      <c r="AB5" s="26">
        <f>IF('Simulasi Premi 1 (Personal)'!$E$38="Menurun",'Spek Produk'!AB63,'Spek Produk'!AB121)</f>
        <v>0</v>
      </c>
      <c r="AC5" s="26">
        <f>IF('Simulasi Premi 1 (Personal)'!$E$38="Menurun",'Spek Produk'!AC63,'Spek Produk'!AC121)</f>
        <v>0</v>
      </c>
      <c r="AD5" s="26">
        <f>IF('Simulasi Premi 1 (Personal)'!$E$38="Menurun",'Spek Produk'!AD63,'Spek Produk'!AD121)</f>
        <v>0</v>
      </c>
      <c r="AE5" s="26">
        <f>IF('Simulasi Premi 1 (Personal)'!$E$38="Menurun",'Spek Produk'!AE63,'Spek Produk'!AE121)</f>
        <v>0</v>
      </c>
      <c r="AF5" s="26">
        <f>IF('Simulasi Premi 1 (Personal)'!$E$38="Menurun",'Spek Produk'!AF63,'Spek Produk'!AF121)</f>
        <v>0</v>
      </c>
      <c r="AG5" s="26">
        <f>IF('Simulasi Premi 1 (Personal)'!$E$38="Menurun",'Spek Produk'!AG63,'Spek Produk'!AG121)</f>
        <v>0</v>
      </c>
      <c r="AH5" s="26">
        <f>IF('Simulasi Premi 1 (Personal)'!$E$38="Menurun",'Spek Produk'!AH63,'Spek Produk'!AH121)</f>
        <v>0</v>
      </c>
      <c r="AI5" s="26">
        <f>IF('Simulasi Premi 1 (Personal)'!$E$38="Menurun",'Spek Produk'!AI63,'Spek Produk'!AI121)</f>
        <v>0</v>
      </c>
      <c r="AJ5" s="26">
        <f>IF('Simulasi Premi 1 (Personal)'!$E$38="Menurun",'Spek Produk'!AJ63,'Spek Produk'!AJ121)</f>
        <v>0</v>
      </c>
      <c r="AK5" s="26">
        <f>IF('Simulasi Premi 1 (Personal)'!$E$38="Menurun",'Spek Produk'!AK63,'Spek Produk'!AK121)</f>
        <v>0</v>
      </c>
      <c r="AL5" s="26">
        <f>IF('Simulasi Premi 1 (Personal)'!$E$38="Menurun",'Spek Produk'!AL63,'Spek Produk'!AL121)</f>
        <v>0</v>
      </c>
      <c r="AM5" s="26">
        <f>IF('Simulasi Premi 1 (Personal)'!$E$38="Menurun",'Spek Produk'!AM63,'Spek Produk'!AM121)</f>
        <v>0</v>
      </c>
      <c r="AN5" s="26">
        <f>IF('Simulasi Premi 1 (Personal)'!$E$38="Menurun",'Spek Produk'!AN63,'Spek Produk'!AN121)</f>
        <v>0</v>
      </c>
      <c r="AO5" s="26">
        <f>IF('Simulasi Premi 1 (Personal)'!$E$38="Menurun",'Spek Produk'!AO63,'Spek Produk'!AO121)</f>
        <v>0</v>
      </c>
      <c r="AP5" s="26">
        <f>IF('Simulasi Premi 1 (Personal)'!$E$38="Menurun",'Spek Produk'!AP63,'Spek Produk'!AP121)</f>
        <v>0</v>
      </c>
      <c r="AR5" s="28">
        <f>AR4+1</f>
        <v>2</v>
      </c>
      <c r="AS5" s="27">
        <v>0.3</v>
      </c>
    </row>
    <row r="6" spans="2:45" x14ac:dyDescent="0.35">
      <c r="B6" s="7"/>
      <c r="C6" s="9" t="s">
        <v>35</v>
      </c>
      <c r="D6" s="9"/>
      <c r="E6" s="11" t="s">
        <v>24</v>
      </c>
      <c r="F6" s="139" t="str">
        <f>IF('Simulasi Premi 1 (Personal)'!$E$38="Menurun",'Spek Produk'!F18,'Spek Produk'!F30)</f>
        <v>Bancassurance</v>
      </c>
      <c r="G6" s="140"/>
      <c r="H6" s="140"/>
      <c r="I6" s="141"/>
      <c r="J6" s="10"/>
      <c r="L6" s="24">
        <f t="shared" ref="L6:L58" si="0">IF(AND(ROW(K6)+12&gt;=$G$11,ROW(K6)+12&lt;=$I$11),ROW(K6)+12,"")</f>
        <v>18</v>
      </c>
      <c r="M6" s="26">
        <f>IF('Simulasi Premi 1 (Personal)'!$E$38="Menurun",'Spek Produk'!M64,'Spek Produk'!M122)</f>
        <v>4.82</v>
      </c>
      <c r="N6" s="26">
        <f>IF('Simulasi Premi 1 (Personal)'!$E$38="Menurun",'Spek Produk'!N64,'Spek Produk'!N122)</f>
        <v>9.92</v>
      </c>
      <c r="O6" s="26">
        <f>IF('Simulasi Premi 1 (Personal)'!$E$38="Menurun",'Spek Produk'!O64,'Spek Produk'!O122)</f>
        <v>15.74</v>
      </c>
      <c r="P6" s="26">
        <f>IF('Simulasi Premi 1 (Personal)'!$E$38="Menurun",'Spek Produk'!P64,'Spek Produk'!P122)</f>
        <v>22.18</v>
      </c>
      <c r="Q6" s="26">
        <f>IF('Simulasi Premi 1 (Personal)'!$E$38="Menurun",'Spek Produk'!Q64,'Spek Produk'!Q122)</f>
        <v>29.15</v>
      </c>
      <c r="R6" s="26">
        <f>IF('Simulasi Premi 1 (Personal)'!$E$38="Menurun",'Spek Produk'!R64,'Spek Produk'!R122)</f>
        <v>36.53</v>
      </c>
      <c r="S6" s="26">
        <f>IF('Simulasi Premi 1 (Personal)'!$E$38="Menurun",'Spek Produk'!S64,'Spek Produk'!S122)</f>
        <v>44.28</v>
      </c>
      <c r="T6" s="26">
        <f>IF('Simulasi Premi 1 (Personal)'!$E$38="Menurun",'Spek Produk'!T64,'Spek Produk'!T122)</f>
        <v>52.32</v>
      </c>
      <c r="U6" s="26">
        <f>IF('Simulasi Premi 1 (Personal)'!$E$38="Menurun",'Spek Produk'!U64,'Spek Produk'!U122)</f>
        <v>60.58</v>
      </c>
      <c r="V6" s="26">
        <f>IF('Simulasi Premi 1 (Personal)'!$E$38="Menurun",'Spek Produk'!V64,'Spek Produk'!V122)</f>
        <v>69</v>
      </c>
      <c r="W6" s="26">
        <f>IF('Simulasi Premi 1 (Personal)'!$E$38="Menurun",'Spek Produk'!W64,'Spek Produk'!W122)</f>
        <v>77.510000000000005</v>
      </c>
      <c r="X6" s="26">
        <f>IF('Simulasi Premi 1 (Personal)'!$E$38="Menurun",'Spek Produk'!X64,'Spek Produk'!X122)</f>
        <v>86.07</v>
      </c>
      <c r="Y6" s="26">
        <f>IF('Simulasi Premi 1 (Personal)'!$E$38="Menurun",'Spek Produk'!Y64,'Spek Produk'!Y122)</f>
        <v>94.6</v>
      </c>
      <c r="Z6" s="26">
        <f>IF('Simulasi Premi 1 (Personal)'!$E$38="Menurun",'Spek Produk'!Z64,'Spek Produk'!Z122)</f>
        <v>103.04</v>
      </c>
      <c r="AA6" s="26">
        <f>IF('Simulasi Premi 1 (Personal)'!$E$38="Menurun",'Spek Produk'!AA64,'Spek Produk'!AA122)</f>
        <v>111.36</v>
      </c>
      <c r="AB6" s="26">
        <f>IF('Simulasi Premi 1 (Personal)'!$E$38="Menurun",'Spek Produk'!AB64,'Spek Produk'!AB122)</f>
        <v>0</v>
      </c>
      <c r="AC6" s="26">
        <f>IF('Simulasi Premi 1 (Personal)'!$E$38="Menurun",'Spek Produk'!AC64,'Spek Produk'!AC122)</f>
        <v>0</v>
      </c>
      <c r="AD6" s="26">
        <f>IF('Simulasi Premi 1 (Personal)'!$E$38="Menurun",'Spek Produk'!AD64,'Spek Produk'!AD122)</f>
        <v>0</v>
      </c>
      <c r="AE6" s="26">
        <f>IF('Simulasi Premi 1 (Personal)'!$E$38="Menurun",'Spek Produk'!AE64,'Spek Produk'!AE122)</f>
        <v>0</v>
      </c>
      <c r="AF6" s="26">
        <f>IF('Simulasi Premi 1 (Personal)'!$E$38="Menurun",'Spek Produk'!AF64,'Spek Produk'!AF122)</f>
        <v>0</v>
      </c>
      <c r="AG6" s="26">
        <f>IF('Simulasi Premi 1 (Personal)'!$E$38="Menurun",'Spek Produk'!AG64,'Spek Produk'!AG122)</f>
        <v>0</v>
      </c>
      <c r="AH6" s="26">
        <f>IF('Simulasi Premi 1 (Personal)'!$E$38="Menurun",'Spek Produk'!AH64,'Spek Produk'!AH122)</f>
        <v>0</v>
      </c>
      <c r="AI6" s="26">
        <f>IF('Simulasi Premi 1 (Personal)'!$E$38="Menurun",'Spek Produk'!AI64,'Spek Produk'!AI122)</f>
        <v>0</v>
      </c>
      <c r="AJ6" s="26">
        <f>IF('Simulasi Premi 1 (Personal)'!$E$38="Menurun",'Spek Produk'!AJ64,'Spek Produk'!AJ122)</f>
        <v>0</v>
      </c>
      <c r="AK6" s="26">
        <f>IF('Simulasi Premi 1 (Personal)'!$E$38="Menurun",'Spek Produk'!AK64,'Spek Produk'!AK122)</f>
        <v>0</v>
      </c>
      <c r="AL6" s="26">
        <f>IF('Simulasi Premi 1 (Personal)'!$E$38="Menurun",'Spek Produk'!AL64,'Spek Produk'!AL122)</f>
        <v>0</v>
      </c>
      <c r="AM6" s="26">
        <f>IF('Simulasi Premi 1 (Personal)'!$E$38="Menurun",'Spek Produk'!AM64,'Spek Produk'!AM122)</f>
        <v>0</v>
      </c>
      <c r="AN6" s="26">
        <f>IF('Simulasi Premi 1 (Personal)'!$E$38="Menurun",'Spek Produk'!AN64,'Spek Produk'!AN122)</f>
        <v>0</v>
      </c>
      <c r="AO6" s="26">
        <f>IF('Simulasi Premi 1 (Personal)'!$E$38="Menurun",'Spek Produk'!AO64,'Spek Produk'!AO122)</f>
        <v>0</v>
      </c>
      <c r="AP6" s="26">
        <f>IF('Simulasi Premi 1 (Personal)'!$E$38="Menurun",'Spek Produk'!AP64,'Spek Produk'!AP122)</f>
        <v>0</v>
      </c>
      <c r="AR6" s="28">
        <f t="shared" ref="AR6:AR15" si="1">AR5+1</f>
        <v>3</v>
      </c>
      <c r="AS6" s="27">
        <v>0.4</v>
      </c>
    </row>
    <row r="7" spans="2:45" x14ac:dyDescent="0.35">
      <c r="B7" s="7"/>
      <c r="C7" s="9" t="s">
        <v>36</v>
      </c>
      <c r="D7" s="9"/>
      <c r="E7" s="11" t="s">
        <v>24</v>
      </c>
      <c r="F7" s="139" t="str">
        <f>IF('Simulasi Premi 1 (Personal)'!$E$38="Menurun",'Spek Produk'!F19,'Spek Produk'!F31)</f>
        <v>BPR Binarta Luhur</v>
      </c>
      <c r="G7" s="140"/>
      <c r="H7" s="140"/>
      <c r="I7" s="141"/>
      <c r="J7" s="10"/>
      <c r="L7" s="24">
        <f t="shared" si="0"/>
        <v>19</v>
      </c>
      <c r="M7" s="26">
        <f>IF('Simulasi Premi 1 (Personal)'!$E$38="Menurun",'Spek Produk'!M65,'Spek Produk'!M123)</f>
        <v>4.82</v>
      </c>
      <c r="N7" s="26">
        <f>IF('Simulasi Premi 1 (Personal)'!$E$38="Menurun",'Spek Produk'!N65,'Spek Produk'!N123)</f>
        <v>9.92</v>
      </c>
      <c r="O7" s="26">
        <f>IF('Simulasi Premi 1 (Personal)'!$E$38="Menurun",'Spek Produk'!O65,'Spek Produk'!O123)</f>
        <v>15.74</v>
      </c>
      <c r="P7" s="26">
        <f>IF('Simulasi Premi 1 (Personal)'!$E$38="Menurun",'Spek Produk'!P65,'Spek Produk'!P123)</f>
        <v>22.18</v>
      </c>
      <c r="Q7" s="26">
        <f>IF('Simulasi Premi 1 (Personal)'!$E$38="Menurun",'Spek Produk'!Q65,'Spek Produk'!Q123)</f>
        <v>29.15</v>
      </c>
      <c r="R7" s="26">
        <f>IF('Simulasi Premi 1 (Personal)'!$E$38="Menurun",'Spek Produk'!R65,'Spek Produk'!R123)</f>
        <v>36.53</v>
      </c>
      <c r="S7" s="26">
        <f>IF('Simulasi Premi 1 (Personal)'!$E$38="Menurun",'Spek Produk'!S65,'Spek Produk'!S123)</f>
        <v>44.28</v>
      </c>
      <c r="T7" s="26">
        <f>IF('Simulasi Premi 1 (Personal)'!$E$38="Menurun",'Spek Produk'!T65,'Spek Produk'!T123)</f>
        <v>52.32</v>
      </c>
      <c r="U7" s="26">
        <f>IF('Simulasi Premi 1 (Personal)'!$E$38="Menurun",'Spek Produk'!U65,'Spek Produk'!U123)</f>
        <v>60.58</v>
      </c>
      <c r="V7" s="26">
        <f>IF('Simulasi Premi 1 (Personal)'!$E$38="Menurun",'Spek Produk'!V65,'Spek Produk'!V123)</f>
        <v>69</v>
      </c>
      <c r="W7" s="26">
        <f>IF('Simulasi Premi 1 (Personal)'!$E$38="Menurun",'Spek Produk'!W65,'Spek Produk'!W123)</f>
        <v>77.510000000000005</v>
      </c>
      <c r="X7" s="26">
        <f>IF('Simulasi Premi 1 (Personal)'!$E$38="Menurun",'Spek Produk'!X65,'Spek Produk'!X123)</f>
        <v>86.07</v>
      </c>
      <c r="Y7" s="26">
        <f>IF('Simulasi Premi 1 (Personal)'!$E$38="Menurun",'Spek Produk'!Y65,'Spek Produk'!Y123)</f>
        <v>94.6</v>
      </c>
      <c r="Z7" s="26">
        <f>IF('Simulasi Premi 1 (Personal)'!$E$38="Menurun",'Spek Produk'!Z65,'Spek Produk'!Z123)</f>
        <v>103.04</v>
      </c>
      <c r="AA7" s="26">
        <f>IF('Simulasi Premi 1 (Personal)'!$E$38="Menurun",'Spek Produk'!AA65,'Spek Produk'!AA123)</f>
        <v>111.36</v>
      </c>
      <c r="AB7" s="26">
        <f>IF('Simulasi Premi 1 (Personal)'!$E$38="Menurun",'Spek Produk'!AB65,'Spek Produk'!AB123)</f>
        <v>0</v>
      </c>
      <c r="AC7" s="26">
        <f>IF('Simulasi Premi 1 (Personal)'!$E$38="Menurun",'Spek Produk'!AC65,'Spek Produk'!AC123)</f>
        <v>0</v>
      </c>
      <c r="AD7" s="26">
        <f>IF('Simulasi Premi 1 (Personal)'!$E$38="Menurun",'Spek Produk'!AD65,'Spek Produk'!AD123)</f>
        <v>0</v>
      </c>
      <c r="AE7" s="26">
        <f>IF('Simulasi Premi 1 (Personal)'!$E$38="Menurun",'Spek Produk'!AE65,'Spek Produk'!AE123)</f>
        <v>0</v>
      </c>
      <c r="AF7" s="26">
        <f>IF('Simulasi Premi 1 (Personal)'!$E$38="Menurun",'Spek Produk'!AF65,'Spek Produk'!AF123)</f>
        <v>0</v>
      </c>
      <c r="AG7" s="26">
        <f>IF('Simulasi Premi 1 (Personal)'!$E$38="Menurun",'Spek Produk'!AG65,'Spek Produk'!AG123)</f>
        <v>0</v>
      </c>
      <c r="AH7" s="26">
        <f>IF('Simulasi Premi 1 (Personal)'!$E$38="Menurun",'Spek Produk'!AH65,'Spek Produk'!AH123)</f>
        <v>0</v>
      </c>
      <c r="AI7" s="26">
        <f>IF('Simulasi Premi 1 (Personal)'!$E$38="Menurun",'Spek Produk'!AI65,'Spek Produk'!AI123)</f>
        <v>0</v>
      </c>
      <c r="AJ7" s="26">
        <f>IF('Simulasi Premi 1 (Personal)'!$E$38="Menurun",'Spek Produk'!AJ65,'Spek Produk'!AJ123)</f>
        <v>0</v>
      </c>
      <c r="AK7" s="26">
        <f>IF('Simulasi Premi 1 (Personal)'!$E$38="Menurun",'Spek Produk'!AK65,'Spek Produk'!AK123)</f>
        <v>0</v>
      </c>
      <c r="AL7" s="26">
        <f>IF('Simulasi Premi 1 (Personal)'!$E$38="Menurun",'Spek Produk'!AL65,'Spek Produk'!AL123)</f>
        <v>0</v>
      </c>
      <c r="AM7" s="26">
        <f>IF('Simulasi Premi 1 (Personal)'!$E$38="Menurun",'Spek Produk'!AM65,'Spek Produk'!AM123)</f>
        <v>0</v>
      </c>
      <c r="AN7" s="26">
        <f>IF('Simulasi Premi 1 (Personal)'!$E$38="Menurun",'Spek Produk'!AN65,'Spek Produk'!AN123)</f>
        <v>0</v>
      </c>
      <c r="AO7" s="26">
        <f>IF('Simulasi Premi 1 (Personal)'!$E$38="Menurun",'Spek Produk'!AO65,'Spek Produk'!AO123)</f>
        <v>0</v>
      </c>
      <c r="AP7" s="26">
        <f>IF('Simulasi Premi 1 (Personal)'!$E$38="Menurun",'Spek Produk'!AP65,'Spek Produk'!AP123)</f>
        <v>0</v>
      </c>
      <c r="AR7" s="28">
        <f t="shared" si="1"/>
        <v>4</v>
      </c>
      <c r="AS7" s="27">
        <v>0.5</v>
      </c>
    </row>
    <row r="8" spans="2:45" x14ac:dyDescent="0.35">
      <c r="B8" s="7"/>
      <c r="C8" s="9" t="s">
        <v>37</v>
      </c>
      <c r="D8" s="9"/>
      <c r="E8" s="11" t="s">
        <v>24</v>
      </c>
      <c r="F8" s="142">
        <f>IF('Simulasi Premi 1 (Personal)'!$E$38="Menurun",'Spek Produk'!F20,'Spek Produk'!F32)</f>
        <v>500000000</v>
      </c>
      <c r="G8" s="143"/>
      <c r="H8" s="143"/>
      <c r="I8" s="144"/>
      <c r="J8" s="10"/>
      <c r="L8" s="24">
        <f t="shared" si="0"/>
        <v>20</v>
      </c>
      <c r="M8" s="26">
        <f>IF('Simulasi Premi 1 (Personal)'!$E$38="Menurun",'Spek Produk'!M66,'Spek Produk'!M124)</f>
        <v>4.82</v>
      </c>
      <c r="N8" s="26">
        <f>IF('Simulasi Premi 1 (Personal)'!$E$38="Menurun",'Spek Produk'!N66,'Spek Produk'!N124)</f>
        <v>9.92</v>
      </c>
      <c r="O8" s="26">
        <f>IF('Simulasi Premi 1 (Personal)'!$E$38="Menurun",'Spek Produk'!O66,'Spek Produk'!O124)</f>
        <v>15.74</v>
      </c>
      <c r="P8" s="26">
        <f>IF('Simulasi Premi 1 (Personal)'!$E$38="Menurun",'Spek Produk'!P66,'Spek Produk'!P124)</f>
        <v>22.18</v>
      </c>
      <c r="Q8" s="26">
        <f>IF('Simulasi Premi 1 (Personal)'!$E$38="Menurun",'Spek Produk'!Q66,'Spek Produk'!Q124)</f>
        <v>29.15</v>
      </c>
      <c r="R8" s="26">
        <f>IF('Simulasi Premi 1 (Personal)'!$E$38="Menurun",'Spek Produk'!R66,'Spek Produk'!R124)</f>
        <v>36.53</v>
      </c>
      <c r="S8" s="26">
        <f>IF('Simulasi Premi 1 (Personal)'!$E$38="Menurun",'Spek Produk'!S66,'Spek Produk'!S124)</f>
        <v>44.28</v>
      </c>
      <c r="T8" s="26">
        <f>IF('Simulasi Premi 1 (Personal)'!$E$38="Menurun",'Spek Produk'!T66,'Spek Produk'!T124)</f>
        <v>52.32</v>
      </c>
      <c r="U8" s="26">
        <f>IF('Simulasi Premi 1 (Personal)'!$E$38="Menurun",'Spek Produk'!U66,'Spek Produk'!U124)</f>
        <v>60.58</v>
      </c>
      <c r="V8" s="26">
        <f>IF('Simulasi Premi 1 (Personal)'!$E$38="Menurun",'Spek Produk'!V66,'Spek Produk'!V124)</f>
        <v>69</v>
      </c>
      <c r="W8" s="26">
        <f>IF('Simulasi Premi 1 (Personal)'!$E$38="Menurun",'Spek Produk'!W66,'Spek Produk'!W124)</f>
        <v>77.510000000000005</v>
      </c>
      <c r="X8" s="26">
        <f>IF('Simulasi Premi 1 (Personal)'!$E$38="Menurun",'Spek Produk'!X66,'Spek Produk'!X124)</f>
        <v>86.07</v>
      </c>
      <c r="Y8" s="26">
        <f>IF('Simulasi Premi 1 (Personal)'!$E$38="Menurun",'Spek Produk'!Y66,'Spek Produk'!Y124)</f>
        <v>94.6</v>
      </c>
      <c r="Z8" s="26">
        <f>IF('Simulasi Premi 1 (Personal)'!$E$38="Menurun",'Spek Produk'!Z66,'Spek Produk'!Z124)</f>
        <v>103.04</v>
      </c>
      <c r="AA8" s="26">
        <f>IF('Simulasi Premi 1 (Personal)'!$E$38="Menurun",'Spek Produk'!AA66,'Spek Produk'!AA124)</f>
        <v>111.36</v>
      </c>
      <c r="AB8" s="26">
        <f>IF('Simulasi Premi 1 (Personal)'!$E$38="Menurun",'Spek Produk'!AB66,'Spek Produk'!AB124)</f>
        <v>0</v>
      </c>
      <c r="AC8" s="26">
        <f>IF('Simulasi Premi 1 (Personal)'!$E$38="Menurun",'Spek Produk'!AC66,'Spek Produk'!AC124)</f>
        <v>0</v>
      </c>
      <c r="AD8" s="26">
        <f>IF('Simulasi Premi 1 (Personal)'!$E$38="Menurun",'Spek Produk'!AD66,'Spek Produk'!AD124)</f>
        <v>0</v>
      </c>
      <c r="AE8" s="26">
        <f>IF('Simulasi Premi 1 (Personal)'!$E$38="Menurun",'Spek Produk'!AE66,'Spek Produk'!AE124)</f>
        <v>0</v>
      </c>
      <c r="AF8" s="26">
        <f>IF('Simulasi Premi 1 (Personal)'!$E$38="Menurun",'Spek Produk'!AF66,'Spek Produk'!AF124)</f>
        <v>0</v>
      </c>
      <c r="AG8" s="26">
        <f>IF('Simulasi Premi 1 (Personal)'!$E$38="Menurun",'Spek Produk'!AG66,'Spek Produk'!AG124)</f>
        <v>0</v>
      </c>
      <c r="AH8" s="26">
        <f>IF('Simulasi Premi 1 (Personal)'!$E$38="Menurun",'Spek Produk'!AH66,'Spek Produk'!AH124)</f>
        <v>0</v>
      </c>
      <c r="AI8" s="26">
        <f>IF('Simulasi Premi 1 (Personal)'!$E$38="Menurun",'Spek Produk'!AI66,'Spek Produk'!AI124)</f>
        <v>0</v>
      </c>
      <c r="AJ8" s="26">
        <f>IF('Simulasi Premi 1 (Personal)'!$E$38="Menurun",'Spek Produk'!AJ66,'Spek Produk'!AJ124)</f>
        <v>0</v>
      </c>
      <c r="AK8" s="26">
        <f>IF('Simulasi Premi 1 (Personal)'!$E$38="Menurun",'Spek Produk'!AK66,'Spek Produk'!AK124)</f>
        <v>0</v>
      </c>
      <c r="AL8" s="26">
        <f>IF('Simulasi Premi 1 (Personal)'!$E$38="Menurun",'Spek Produk'!AL66,'Spek Produk'!AL124)</f>
        <v>0</v>
      </c>
      <c r="AM8" s="26">
        <f>IF('Simulasi Premi 1 (Personal)'!$E$38="Menurun",'Spek Produk'!AM66,'Spek Produk'!AM124)</f>
        <v>0</v>
      </c>
      <c r="AN8" s="26">
        <f>IF('Simulasi Premi 1 (Personal)'!$E$38="Menurun",'Spek Produk'!AN66,'Spek Produk'!AN124)</f>
        <v>0</v>
      </c>
      <c r="AO8" s="26">
        <f>IF('Simulasi Premi 1 (Personal)'!$E$38="Menurun",'Spek Produk'!AO66,'Spek Produk'!AO124)</f>
        <v>0</v>
      </c>
      <c r="AP8" s="26">
        <f>IF('Simulasi Premi 1 (Personal)'!$E$38="Menurun",'Spek Produk'!AP66,'Spek Produk'!AP124)</f>
        <v>0</v>
      </c>
      <c r="AR8" s="28">
        <f t="shared" si="1"/>
        <v>5</v>
      </c>
      <c r="AS8" s="27">
        <v>0.6</v>
      </c>
    </row>
    <row r="9" spans="2:45" x14ac:dyDescent="0.35">
      <c r="B9" s="7"/>
      <c r="C9" s="9" t="s">
        <v>89</v>
      </c>
      <c r="D9" s="9"/>
      <c r="E9" s="11" t="s">
        <v>24</v>
      </c>
      <c r="F9" s="139" t="str">
        <f>IF('Simulasi Premi 1 (Personal)'!$E$38="Menurun",'Spek Produk'!F21,'Spek Produk'!F33)</f>
        <v>Konvensional</v>
      </c>
      <c r="G9" s="140"/>
      <c r="H9" s="140"/>
      <c r="I9" s="141"/>
      <c r="J9" s="10"/>
      <c r="L9" s="24">
        <f t="shared" si="0"/>
        <v>21</v>
      </c>
      <c r="M9" s="26">
        <f>IF('Simulasi Premi 1 (Personal)'!$E$38="Menurun",'Spek Produk'!M67,'Spek Produk'!M125)</f>
        <v>4.82</v>
      </c>
      <c r="N9" s="26">
        <f>IF('Simulasi Premi 1 (Personal)'!$E$38="Menurun",'Spek Produk'!N67,'Spek Produk'!N125)</f>
        <v>9.92</v>
      </c>
      <c r="O9" s="26">
        <f>IF('Simulasi Premi 1 (Personal)'!$E$38="Menurun",'Spek Produk'!O67,'Spek Produk'!O125)</f>
        <v>15.74</v>
      </c>
      <c r="P9" s="26">
        <f>IF('Simulasi Premi 1 (Personal)'!$E$38="Menurun",'Spek Produk'!P67,'Spek Produk'!P125)</f>
        <v>22.18</v>
      </c>
      <c r="Q9" s="26">
        <f>IF('Simulasi Premi 1 (Personal)'!$E$38="Menurun",'Spek Produk'!Q67,'Spek Produk'!Q125)</f>
        <v>29.15</v>
      </c>
      <c r="R9" s="26">
        <f>IF('Simulasi Premi 1 (Personal)'!$E$38="Menurun",'Spek Produk'!R67,'Spek Produk'!R125)</f>
        <v>36.53</v>
      </c>
      <c r="S9" s="26">
        <f>IF('Simulasi Premi 1 (Personal)'!$E$38="Menurun",'Spek Produk'!S67,'Spek Produk'!S125)</f>
        <v>44.28</v>
      </c>
      <c r="T9" s="26">
        <f>IF('Simulasi Premi 1 (Personal)'!$E$38="Menurun",'Spek Produk'!T67,'Spek Produk'!T125)</f>
        <v>52.32</v>
      </c>
      <c r="U9" s="26">
        <f>IF('Simulasi Premi 1 (Personal)'!$E$38="Menurun",'Spek Produk'!U67,'Spek Produk'!U125)</f>
        <v>60.58</v>
      </c>
      <c r="V9" s="26">
        <f>IF('Simulasi Premi 1 (Personal)'!$E$38="Menurun",'Spek Produk'!V67,'Spek Produk'!V125)</f>
        <v>69</v>
      </c>
      <c r="W9" s="26">
        <f>IF('Simulasi Premi 1 (Personal)'!$E$38="Menurun",'Spek Produk'!W67,'Spek Produk'!W125)</f>
        <v>77.510000000000005</v>
      </c>
      <c r="X9" s="26">
        <f>IF('Simulasi Premi 1 (Personal)'!$E$38="Menurun",'Spek Produk'!X67,'Spek Produk'!X125)</f>
        <v>86.07</v>
      </c>
      <c r="Y9" s="26">
        <f>IF('Simulasi Premi 1 (Personal)'!$E$38="Menurun",'Spek Produk'!Y67,'Spek Produk'!Y125)</f>
        <v>94.6</v>
      </c>
      <c r="Z9" s="26">
        <f>IF('Simulasi Premi 1 (Personal)'!$E$38="Menurun",'Spek Produk'!Z67,'Spek Produk'!Z125)</f>
        <v>103.04</v>
      </c>
      <c r="AA9" s="26">
        <f>IF('Simulasi Premi 1 (Personal)'!$E$38="Menurun",'Spek Produk'!AA67,'Spek Produk'!AA125)</f>
        <v>111.36</v>
      </c>
      <c r="AB9" s="26">
        <f>IF('Simulasi Premi 1 (Personal)'!$E$38="Menurun",'Spek Produk'!AB67,'Spek Produk'!AB125)</f>
        <v>0</v>
      </c>
      <c r="AC9" s="26">
        <f>IF('Simulasi Premi 1 (Personal)'!$E$38="Menurun",'Spek Produk'!AC67,'Spek Produk'!AC125)</f>
        <v>0</v>
      </c>
      <c r="AD9" s="26">
        <f>IF('Simulasi Premi 1 (Personal)'!$E$38="Menurun",'Spek Produk'!AD67,'Spek Produk'!AD125)</f>
        <v>0</v>
      </c>
      <c r="AE9" s="26">
        <f>IF('Simulasi Premi 1 (Personal)'!$E$38="Menurun",'Spek Produk'!AE67,'Spek Produk'!AE125)</f>
        <v>0</v>
      </c>
      <c r="AF9" s="26">
        <f>IF('Simulasi Premi 1 (Personal)'!$E$38="Menurun",'Spek Produk'!AF67,'Spek Produk'!AF125)</f>
        <v>0</v>
      </c>
      <c r="AG9" s="26">
        <f>IF('Simulasi Premi 1 (Personal)'!$E$38="Menurun",'Spek Produk'!AG67,'Spek Produk'!AG125)</f>
        <v>0</v>
      </c>
      <c r="AH9" s="26">
        <f>IF('Simulasi Premi 1 (Personal)'!$E$38="Menurun",'Spek Produk'!AH67,'Spek Produk'!AH125)</f>
        <v>0</v>
      </c>
      <c r="AI9" s="26">
        <f>IF('Simulasi Premi 1 (Personal)'!$E$38="Menurun",'Spek Produk'!AI67,'Spek Produk'!AI125)</f>
        <v>0</v>
      </c>
      <c r="AJ9" s="26">
        <f>IF('Simulasi Premi 1 (Personal)'!$E$38="Menurun",'Spek Produk'!AJ67,'Spek Produk'!AJ125)</f>
        <v>0</v>
      </c>
      <c r="AK9" s="26">
        <f>IF('Simulasi Premi 1 (Personal)'!$E$38="Menurun",'Spek Produk'!AK67,'Spek Produk'!AK125)</f>
        <v>0</v>
      </c>
      <c r="AL9" s="26">
        <f>IF('Simulasi Premi 1 (Personal)'!$E$38="Menurun",'Spek Produk'!AL67,'Spek Produk'!AL125)</f>
        <v>0</v>
      </c>
      <c r="AM9" s="26">
        <f>IF('Simulasi Premi 1 (Personal)'!$E$38="Menurun",'Spek Produk'!AM67,'Spek Produk'!AM125)</f>
        <v>0</v>
      </c>
      <c r="AN9" s="26">
        <f>IF('Simulasi Premi 1 (Personal)'!$E$38="Menurun",'Spek Produk'!AN67,'Spek Produk'!AN125)</f>
        <v>0</v>
      </c>
      <c r="AO9" s="26">
        <f>IF('Simulasi Premi 1 (Personal)'!$E$38="Menurun",'Spek Produk'!AO67,'Spek Produk'!AO125)</f>
        <v>0</v>
      </c>
      <c r="AP9" s="26">
        <f>IF('Simulasi Premi 1 (Personal)'!$E$38="Menurun",'Spek Produk'!AP67,'Spek Produk'!AP125)</f>
        <v>0</v>
      </c>
      <c r="AR9" s="28">
        <f t="shared" si="1"/>
        <v>6</v>
      </c>
      <c r="AS9" s="27">
        <v>0.7</v>
      </c>
    </row>
    <row r="10" spans="2:45" x14ac:dyDescent="0.35">
      <c r="B10" s="7"/>
      <c r="C10" s="12" t="s">
        <v>38</v>
      </c>
      <c r="D10" s="12"/>
      <c r="E10" s="11" t="s">
        <v>24</v>
      </c>
      <c r="F10" s="13" t="s">
        <v>39</v>
      </c>
      <c r="G10" s="14">
        <f>IF('Simulasi Premi 1 (Personal)'!$E$38="Menurun",'Spek Produk'!G22,'Spek Produk'!G34)</f>
        <v>0</v>
      </c>
      <c r="H10" s="13" t="s">
        <v>40</v>
      </c>
      <c r="I10" s="14">
        <f>IF('Simulasi Premi 1 (Personal)'!$E$38="Menurun",'Spek Produk'!I22,'Spek Produk'!I34)</f>
        <v>15</v>
      </c>
      <c r="J10" s="10"/>
      <c r="L10" s="24">
        <f t="shared" si="0"/>
        <v>22</v>
      </c>
      <c r="M10" s="26">
        <f>IF('Simulasi Premi 1 (Personal)'!$E$38="Menurun",'Spek Produk'!M68,'Spek Produk'!M126)</f>
        <v>4.82</v>
      </c>
      <c r="N10" s="26">
        <f>IF('Simulasi Premi 1 (Personal)'!$E$38="Menurun",'Spek Produk'!N68,'Spek Produk'!N126)</f>
        <v>9.92</v>
      </c>
      <c r="O10" s="26">
        <f>IF('Simulasi Premi 1 (Personal)'!$E$38="Menurun",'Spek Produk'!O68,'Spek Produk'!O126)</f>
        <v>15.74</v>
      </c>
      <c r="P10" s="26">
        <f>IF('Simulasi Premi 1 (Personal)'!$E$38="Menurun",'Spek Produk'!P68,'Spek Produk'!P126)</f>
        <v>22.18</v>
      </c>
      <c r="Q10" s="26">
        <f>IF('Simulasi Premi 1 (Personal)'!$E$38="Menurun",'Spek Produk'!Q68,'Spek Produk'!Q126)</f>
        <v>29.15</v>
      </c>
      <c r="R10" s="26">
        <f>IF('Simulasi Premi 1 (Personal)'!$E$38="Menurun",'Spek Produk'!R68,'Spek Produk'!R126)</f>
        <v>36.53</v>
      </c>
      <c r="S10" s="26">
        <f>IF('Simulasi Premi 1 (Personal)'!$E$38="Menurun",'Spek Produk'!S68,'Spek Produk'!S126)</f>
        <v>44.28</v>
      </c>
      <c r="T10" s="26">
        <f>IF('Simulasi Premi 1 (Personal)'!$E$38="Menurun",'Spek Produk'!T68,'Spek Produk'!T126)</f>
        <v>52.32</v>
      </c>
      <c r="U10" s="26">
        <f>IF('Simulasi Premi 1 (Personal)'!$E$38="Menurun",'Spek Produk'!U68,'Spek Produk'!U126)</f>
        <v>60.58</v>
      </c>
      <c r="V10" s="26">
        <f>IF('Simulasi Premi 1 (Personal)'!$E$38="Menurun",'Spek Produk'!V68,'Spek Produk'!V126)</f>
        <v>69</v>
      </c>
      <c r="W10" s="26">
        <f>IF('Simulasi Premi 1 (Personal)'!$E$38="Menurun",'Spek Produk'!W68,'Spek Produk'!W126)</f>
        <v>77.510000000000005</v>
      </c>
      <c r="X10" s="26">
        <f>IF('Simulasi Premi 1 (Personal)'!$E$38="Menurun",'Spek Produk'!X68,'Spek Produk'!X126)</f>
        <v>86.07</v>
      </c>
      <c r="Y10" s="26">
        <f>IF('Simulasi Premi 1 (Personal)'!$E$38="Menurun",'Spek Produk'!Y68,'Spek Produk'!Y126)</f>
        <v>94.6</v>
      </c>
      <c r="Z10" s="26">
        <f>IF('Simulasi Premi 1 (Personal)'!$E$38="Menurun",'Spek Produk'!Z68,'Spek Produk'!Z126)</f>
        <v>103.04</v>
      </c>
      <c r="AA10" s="26">
        <f>IF('Simulasi Premi 1 (Personal)'!$E$38="Menurun",'Spek Produk'!AA68,'Spek Produk'!AA126)</f>
        <v>111.36</v>
      </c>
      <c r="AB10" s="26">
        <f>IF('Simulasi Premi 1 (Personal)'!$E$38="Menurun",'Spek Produk'!AB68,'Spek Produk'!AB126)</f>
        <v>0</v>
      </c>
      <c r="AC10" s="26">
        <f>IF('Simulasi Premi 1 (Personal)'!$E$38="Menurun",'Spek Produk'!AC68,'Spek Produk'!AC126)</f>
        <v>0</v>
      </c>
      <c r="AD10" s="26">
        <f>IF('Simulasi Premi 1 (Personal)'!$E$38="Menurun",'Spek Produk'!AD68,'Spek Produk'!AD126)</f>
        <v>0</v>
      </c>
      <c r="AE10" s="26">
        <f>IF('Simulasi Premi 1 (Personal)'!$E$38="Menurun",'Spek Produk'!AE68,'Spek Produk'!AE126)</f>
        <v>0</v>
      </c>
      <c r="AF10" s="26">
        <f>IF('Simulasi Premi 1 (Personal)'!$E$38="Menurun",'Spek Produk'!AF68,'Spek Produk'!AF126)</f>
        <v>0</v>
      </c>
      <c r="AG10" s="26">
        <f>IF('Simulasi Premi 1 (Personal)'!$E$38="Menurun",'Spek Produk'!AG68,'Spek Produk'!AG126)</f>
        <v>0</v>
      </c>
      <c r="AH10" s="26">
        <f>IF('Simulasi Premi 1 (Personal)'!$E$38="Menurun",'Spek Produk'!AH68,'Spek Produk'!AH126)</f>
        <v>0</v>
      </c>
      <c r="AI10" s="26">
        <f>IF('Simulasi Premi 1 (Personal)'!$E$38="Menurun",'Spek Produk'!AI68,'Spek Produk'!AI126)</f>
        <v>0</v>
      </c>
      <c r="AJ10" s="26">
        <f>IF('Simulasi Premi 1 (Personal)'!$E$38="Menurun",'Spek Produk'!AJ68,'Spek Produk'!AJ126)</f>
        <v>0</v>
      </c>
      <c r="AK10" s="26">
        <f>IF('Simulasi Premi 1 (Personal)'!$E$38="Menurun",'Spek Produk'!AK68,'Spek Produk'!AK126)</f>
        <v>0</v>
      </c>
      <c r="AL10" s="26">
        <f>IF('Simulasi Premi 1 (Personal)'!$E$38="Menurun",'Spek Produk'!AL68,'Spek Produk'!AL126)</f>
        <v>0</v>
      </c>
      <c r="AM10" s="26">
        <f>IF('Simulasi Premi 1 (Personal)'!$E$38="Menurun",'Spek Produk'!AM68,'Spek Produk'!AM126)</f>
        <v>0</v>
      </c>
      <c r="AN10" s="26">
        <f>IF('Simulasi Premi 1 (Personal)'!$E$38="Menurun",'Spek Produk'!AN68,'Spek Produk'!AN126)</f>
        <v>0</v>
      </c>
      <c r="AO10" s="26">
        <f>IF('Simulasi Premi 1 (Personal)'!$E$38="Menurun",'Spek Produk'!AO68,'Spek Produk'!AO126)</f>
        <v>0</v>
      </c>
      <c r="AP10" s="26">
        <f>IF('Simulasi Premi 1 (Personal)'!$E$38="Menurun",'Spek Produk'!AP68,'Spek Produk'!AP126)</f>
        <v>0</v>
      </c>
      <c r="AR10" s="28">
        <f t="shared" si="1"/>
        <v>7</v>
      </c>
      <c r="AS10" s="27">
        <v>0.75</v>
      </c>
    </row>
    <row r="11" spans="2:45" x14ac:dyDescent="0.35">
      <c r="B11" s="7"/>
      <c r="C11" s="12" t="s">
        <v>41</v>
      </c>
      <c r="D11" s="12"/>
      <c r="E11" s="11" t="s">
        <v>24</v>
      </c>
      <c r="F11" s="13" t="s">
        <v>39</v>
      </c>
      <c r="G11" s="14">
        <f>IF('Simulasi Premi 1 (Personal)'!$E$38="Menurun",'Spek Produk'!G23,'Spek Produk'!G35)</f>
        <v>18</v>
      </c>
      <c r="H11" s="13" t="s">
        <v>40</v>
      </c>
      <c r="I11" s="14">
        <f>IF('Simulasi Premi 1 (Personal)'!$E$38="Menurun",'Spek Produk'!I23,'Spek Produk'!I35)</f>
        <v>65</v>
      </c>
      <c r="J11" s="10"/>
      <c r="L11" s="24">
        <f t="shared" si="0"/>
        <v>23</v>
      </c>
      <c r="M11" s="26">
        <f>IF('Simulasi Premi 1 (Personal)'!$E$38="Menurun",'Spek Produk'!M69,'Spek Produk'!M127)</f>
        <v>4.82</v>
      </c>
      <c r="N11" s="26">
        <f>IF('Simulasi Premi 1 (Personal)'!$E$38="Menurun",'Spek Produk'!N69,'Spek Produk'!N127)</f>
        <v>9.92</v>
      </c>
      <c r="O11" s="26">
        <f>IF('Simulasi Premi 1 (Personal)'!$E$38="Menurun",'Spek Produk'!O69,'Spek Produk'!O127)</f>
        <v>15.74</v>
      </c>
      <c r="P11" s="26">
        <f>IF('Simulasi Premi 1 (Personal)'!$E$38="Menurun",'Spek Produk'!P69,'Spek Produk'!P127)</f>
        <v>22.18</v>
      </c>
      <c r="Q11" s="26">
        <f>IF('Simulasi Premi 1 (Personal)'!$E$38="Menurun",'Spek Produk'!Q69,'Spek Produk'!Q127)</f>
        <v>29.15</v>
      </c>
      <c r="R11" s="26">
        <f>IF('Simulasi Premi 1 (Personal)'!$E$38="Menurun",'Spek Produk'!R69,'Spek Produk'!R127)</f>
        <v>36.53</v>
      </c>
      <c r="S11" s="26">
        <f>IF('Simulasi Premi 1 (Personal)'!$E$38="Menurun",'Spek Produk'!S69,'Spek Produk'!S127)</f>
        <v>44.28</v>
      </c>
      <c r="T11" s="26">
        <f>IF('Simulasi Premi 1 (Personal)'!$E$38="Menurun",'Spek Produk'!T69,'Spek Produk'!T127)</f>
        <v>52.32</v>
      </c>
      <c r="U11" s="26">
        <f>IF('Simulasi Premi 1 (Personal)'!$E$38="Menurun",'Spek Produk'!U69,'Spek Produk'!U127)</f>
        <v>60.58</v>
      </c>
      <c r="V11" s="26">
        <f>IF('Simulasi Premi 1 (Personal)'!$E$38="Menurun",'Spek Produk'!V69,'Spek Produk'!V127)</f>
        <v>69</v>
      </c>
      <c r="W11" s="26">
        <f>IF('Simulasi Premi 1 (Personal)'!$E$38="Menurun",'Spek Produk'!W69,'Spek Produk'!W127)</f>
        <v>77.510000000000005</v>
      </c>
      <c r="X11" s="26">
        <f>IF('Simulasi Premi 1 (Personal)'!$E$38="Menurun",'Spek Produk'!X69,'Spek Produk'!X127)</f>
        <v>86.07</v>
      </c>
      <c r="Y11" s="26">
        <f>IF('Simulasi Premi 1 (Personal)'!$E$38="Menurun",'Spek Produk'!Y69,'Spek Produk'!Y127)</f>
        <v>94.6</v>
      </c>
      <c r="Z11" s="26">
        <f>IF('Simulasi Premi 1 (Personal)'!$E$38="Menurun",'Spek Produk'!Z69,'Spek Produk'!Z127)</f>
        <v>103.04</v>
      </c>
      <c r="AA11" s="26">
        <f>IF('Simulasi Premi 1 (Personal)'!$E$38="Menurun",'Spek Produk'!AA69,'Spek Produk'!AA127)</f>
        <v>111.36</v>
      </c>
      <c r="AB11" s="26">
        <f>IF('Simulasi Premi 1 (Personal)'!$E$38="Menurun",'Spek Produk'!AB69,'Spek Produk'!AB127)</f>
        <v>0</v>
      </c>
      <c r="AC11" s="26">
        <f>IF('Simulasi Premi 1 (Personal)'!$E$38="Menurun",'Spek Produk'!AC69,'Spek Produk'!AC127)</f>
        <v>0</v>
      </c>
      <c r="AD11" s="26">
        <f>IF('Simulasi Premi 1 (Personal)'!$E$38="Menurun",'Spek Produk'!AD69,'Spek Produk'!AD127)</f>
        <v>0</v>
      </c>
      <c r="AE11" s="26">
        <f>IF('Simulasi Premi 1 (Personal)'!$E$38="Menurun",'Spek Produk'!AE69,'Spek Produk'!AE127)</f>
        <v>0</v>
      </c>
      <c r="AF11" s="26">
        <f>IF('Simulasi Premi 1 (Personal)'!$E$38="Menurun",'Spek Produk'!AF69,'Spek Produk'!AF127)</f>
        <v>0</v>
      </c>
      <c r="AG11" s="26">
        <f>IF('Simulasi Premi 1 (Personal)'!$E$38="Menurun",'Spek Produk'!AG69,'Spek Produk'!AG127)</f>
        <v>0</v>
      </c>
      <c r="AH11" s="26">
        <f>IF('Simulasi Premi 1 (Personal)'!$E$38="Menurun",'Spek Produk'!AH69,'Spek Produk'!AH127)</f>
        <v>0</v>
      </c>
      <c r="AI11" s="26">
        <f>IF('Simulasi Premi 1 (Personal)'!$E$38="Menurun",'Spek Produk'!AI69,'Spek Produk'!AI127)</f>
        <v>0</v>
      </c>
      <c r="AJ11" s="26">
        <f>IF('Simulasi Premi 1 (Personal)'!$E$38="Menurun",'Spek Produk'!AJ69,'Spek Produk'!AJ127)</f>
        <v>0</v>
      </c>
      <c r="AK11" s="26">
        <f>IF('Simulasi Premi 1 (Personal)'!$E$38="Menurun",'Spek Produk'!AK69,'Spek Produk'!AK127)</f>
        <v>0</v>
      </c>
      <c r="AL11" s="26">
        <f>IF('Simulasi Premi 1 (Personal)'!$E$38="Menurun",'Spek Produk'!AL69,'Spek Produk'!AL127)</f>
        <v>0</v>
      </c>
      <c r="AM11" s="26">
        <f>IF('Simulasi Premi 1 (Personal)'!$E$38="Menurun",'Spek Produk'!AM69,'Spek Produk'!AM127)</f>
        <v>0</v>
      </c>
      <c r="AN11" s="26">
        <f>IF('Simulasi Premi 1 (Personal)'!$E$38="Menurun",'Spek Produk'!AN69,'Spek Produk'!AN127)</f>
        <v>0</v>
      </c>
      <c r="AO11" s="26">
        <f>IF('Simulasi Premi 1 (Personal)'!$E$38="Menurun",'Spek Produk'!AO69,'Spek Produk'!AO127)</f>
        <v>0</v>
      </c>
      <c r="AP11" s="26">
        <f>IF('Simulasi Premi 1 (Personal)'!$E$38="Menurun",'Spek Produk'!AP69,'Spek Produk'!AP127)</f>
        <v>0</v>
      </c>
      <c r="AR11" s="28">
        <f t="shared" si="1"/>
        <v>8</v>
      </c>
      <c r="AS11" s="27">
        <v>0.875</v>
      </c>
    </row>
    <row r="12" spans="2:45" x14ac:dyDescent="0.35">
      <c r="B12" s="7"/>
      <c r="C12" s="12" t="s">
        <v>42</v>
      </c>
      <c r="D12" s="12"/>
      <c r="E12" s="11" t="s">
        <v>24</v>
      </c>
      <c r="F12" s="137" t="s">
        <v>43</v>
      </c>
      <c r="G12" s="138"/>
      <c r="H12" s="14">
        <f>IF('Simulasi Premi 1 (Personal)'!$E$38="Menurun",'Spek Produk'!H24,'Spek Produk'!H36)</f>
        <v>70</v>
      </c>
      <c r="I12" s="16"/>
      <c r="J12" s="17"/>
      <c r="L12" s="24">
        <f t="shared" si="0"/>
        <v>24</v>
      </c>
      <c r="M12" s="26">
        <f>IF('Simulasi Premi 1 (Personal)'!$E$38="Menurun",'Spek Produk'!M70,'Spek Produk'!M128)</f>
        <v>4.82</v>
      </c>
      <c r="N12" s="26">
        <f>IF('Simulasi Premi 1 (Personal)'!$E$38="Menurun",'Spek Produk'!N70,'Spek Produk'!N128)</f>
        <v>9.92</v>
      </c>
      <c r="O12" s="26">
        <f>IF('Simulasi Premi 1 (Personal)'!$E$38="Menurun",'Spek Produk'!O70,'Spek Produk'!O128)</f>
        <v>15.74</v>
      </c>
      <c r="P12" s="26">
        <f>IF('Simulasi Premi 1 (Personal)'!$E$38="Menurun",'Spek Produk'!P70,'Spek Produk'!P128)</f>
        <v>22.18</v>
      </c>
      <c r="Q12" s="26">
        <f>IF('Simulasi Premi 1 (Personal)'!$E$38="Menurun",'Spek Produk'!Q70,'Spek Produk'!Q128)</f>
        <v>29.15</v>
      </c>
      <c r="R12" s="26">
        <f>IF('Simulasi Premi 1 (Personal)'!$E$38="Menurun",'Spek Produk'!R70,'Spek Produk'!R128)</f>
        <v>36.53</v>
      </c>
      <c r="S12" s="26">
        <f>IF('Simulasi Premi 1 (Personal)'!$E$38="Menurun",'Spek Produk'!S70,'Spek Produk'!S128)</f>
        <v>44.28</v>
      </c>
      <c r="T12" s="26">
        <f>IF('Simulasi Premi 1 (Personal)'!$E$38="Menurun",'Spek Produk'!T70,'Spek Produk'!T128)</f>
        <v>52.32</v>
      </c>
      <c r="U12" s="26">
        <f>IF('Simulasi Premi 1 (Personal)'!$E$38="Menurun",'Spek Produk'!U70,'Spek Produk'!U128)</f>
        <v>60.58</v>
      </c>
      <c r="V12" s="26">
        <f>IF('Simulasi Premi 1 (Personal)'!$E$38="Menurun",'Spek Produk'!V70,'Spek Produk'!V128)</f>
        <v>69</v>
      </c>
      <c r="W12" s="26">
        <f>IF('Simulasi Premi 1 (Personal)'!$E$38="Menurun",'Spek Produk'!W70,'Spek Produk'!W128)</f>
        <v>77.510000000000005</v>
      </c>
      <c r="X12" s="26">
        <f>IF('Simulasi Premi 1 (Personal)'!$E$38="Menurun",'Spek Produk'!X70,'Spek Produk'!X128)</f>
        <v>86.07</v>
      </c>
      <c r="Y12" s="26">
        <f>IF('Simulasi Premi 1 (Personal)'!$E$38="Menurun",'Spek Produk'!Y70,'Spek Produk'!Y128)</f>
        <v>94.6</v>
      </c>
      <c r="Z12" s="26">
        <f>IF('Simulasi Premi 1 (Personal)'!$E$38="Menurun",'Spek Produk'!Z70,'Spek Produk'!Z128)</f>
        <v>103.04</v>
      </c>
      <c r="AA12" s="26">
        <f>IF('Simulasi Premi 1 (Personal)'!$E$38="Menurun",'Spek Produk'!AA70,'Spek Produk'!AA128)</f>
        <v>111.36</v>
      </c>
      <c r="AB12" s="26">
        <f>IF('Simulasi Premi 1 (Personal)'!$E$38="Menurun",'Spek Produk'!AB70,'Spek Produk'!AB128)</f>
        <v>0</v>
      </c>
      <c r="AC12" s="26">
        <f>IF('Simulasi Premi 1 (Personal)'!$E$38="Menurun",'Spek Produk'!AC70,'Spek Produk'!AC128)</f>
        <v>0</v>
      </c>
      <c r="AD12" s="26">
        <f>IF('Simulasi Premi 1 (Personal)'!$E$38="Menurun",'Spek Produk'!AD70,'Spek Produk'!AD128)</f>
        <v>0</v>
      </c>
      <c r="AE12" s="26">
        <f>IF('Simulasi Premi 1 (Personal)'!$E$38="Menurun",'Spek Produk'!AE70,'Spek Produk'!AE128)</f>
        <v>0</v>
      </c>
      <c r="AF12" s="26">
        <f>IF('Simulasi Premi 1 (Personal)'!$E$38="Menurun",'Spek Produk'!AF70,'Spek Produk'!AF128)</f>
        <v>0</v>
      </c>
      <c r="AG12" s="26">
        <f>IF('Simulasi Premi 1 (Personal)'!$E$38="Menurun",'Spek Produk'!AG70,'Spek Produk'!AG128)</f>
        <v>0</v>
      </c>
      <c r="AH12" s="26">
        <f>IF('Simulasi Premi 1 (Personal)'!$E$38="Menurun",'Spek Produk'!AH70,'Spek Produk'!AH128)</f>
        <v>0</v>
      </c>
      <c r="AI12" s="26">
        <f>IF('Simulasi Premi 1 (Personal)'!$E$38="Menurun",'Spek Produk'!AI70,'Spek Produk'!AI128)</f>
        <v>0</v>
      </c>
      <c r="AJ12" s="26">
        <f>IF('Simulasi Premi 1 (Personal)'!$E$38="Menurun",'Spek Produk'!AJ70,'Spek Produk'!AJ128)</f>
        <v>0</v>
      </c>
      <c r="AK12" s="26">
        <f>IF('Simulasi Premi 1 (Personal)'!$E$38="Menurun",'Spek Produk'!AK70,'Spek Produk'!AK128)</f>
        <v>0</v>
      </c>
      <c r="AL12" s="26">
        <f>IF('Simulasi Premi 1 (Personal)'!$E$38="Menurun",'Spek Produk'!AL70,'Spek Produk'!AL128)</f>
        <v>0</v>
      </c>
      <c r="AM12" s="26">
        <f>IF('Simulasi Premi 1 (Personal)'!$E$38="Menurun",'Spek Produk'!AM70,'Spek Produk'!AM128)</f>
        <v>0</v>
      </c>
      <c r="AN12" s="26">
        <f>IF('Simulasi Premi 1 (Personal)'!$E$38="Menurun",'Spek Produk'!AN70,'Spek Produk'!AN128)</f>
        <v>0</v>
      </c>
      <c r="AO12" s="26">
        <f>IF('Simulasi Premi 1 (Personal)'!$E$38="Menurun",'Spek Produk'!AO70,'Spek Produk'!AO128)</f>
        <v>0</v>
      </c>
      <c r="AP12" s="26">
        <f>IF('Simulasi Premi 1 (Personal)'!$E$38="Menurun",'Spek Produk'!AP70,'Spek Produk'!AP128)</f>
        <v>0</v>
      </c>
      <c r="AR12" s="28">
        <f t="shared" si="1"/>
        <v>9</v>
      </c>
      <c r="AS12" s="27">
        <v>1</v>
      </c>
    </row>
    <row r="13" spans="2:45" x14ac:dyDescent="0.35">
      <c r="B13" s="18"/>
      <c r="C13" s="19"/>
      <c r="D13" s="19"/>
      <c r="E13" s="20"/>
      <c r="F13" s="20"/>
      <c r="G13" s="20"/>
      <c r="H13" s="21"/>
      <c r="I13" s="21"/>
      <c r="J13" s="22"/>
      <c r="L13" s="24">
        <f t="shared" si="0"/>
        <v>25</v>
      </c>
      <c r="M13" s="26">
        <f>IF('Simulasi Premi 1 (Personal)'!$E$38="Menurun",'Spek Produk'!M71,'Spek Produk'!M129)</f>
        <v>4.82</v>
      </c>
      <c r="N13" s="26">
        <f>IF('Simulasi Premi 1 (Personal)'!$E$38="Menurun",'Spek Produk'!N71,'Spek Produk'!N129)</f>
        <v>9.92</v>
      </c>
      <c r="O13" s="26">
        <f>IF('Simulasi Premi 1 (Personal)'!$E$38="Menurun",'Spek Produk'!O71,'Spek Produk'!O129)</f>
        <v>15.74</v>
      </c>
      <c r="P13" s="26">
        <f>IF('Simulasi Premi 1 (Personal)'!$E$38="Menurun",'Spek Produk'!P71,'Spek Produk'!P129)</f>
        <v>22.18</v>
      </c>
      <c r="Q13" s="26">
        <f>IF('Simulasi Premi 1 (Personal)'!$E$38="Menurun",'Spek Produk'!Q71,'Spek Produk'!Q129)</f>
        <v>29.15</v>
      </c>
      <c r="R13" s="26">
        <f>IF('Simulasi Premi 1 (Personal)'!$E$38="Menurun",'Spek Produk'!R71,'Spek Produk'!R129)</f>
        <v>36.53</v>
      </c>
      <c r="S13" s="26">
        <f>IF('Simulasi Premi 1 (Personal)'!$E$38="Menurun",'Spek Produk'!S71,'Spek Produk'!S129)</f>
        <v>44.28</v>
      </c>
      <c r="T13" s="26">
        <f>IF('Simulasi Premi 1 (Personal)'!$E$38="Menurun",'Spek Produk'!T71,'Spek Produk'!T129)</f>
        <v>52.32</v>
      </c>
      <c r="U13" s="26">
        <f>IF('Simulasi Premi 1 (Personal)'!$E$38="Menurun",'Spek Produk'!U71,'Spek Produk'!U129)</f>
        <v>60.58</v>
      </c>
      <c r="V13" s="26">
        <f>IF('Simulasi Premi 1 (Personal)'!$E$38="Menurun",'Spek Produk'!V71,'Spek Produk'!V129)</f>
        <v>69</v>
      </c>
      <c r="W13" s="26">
        <f>IF('Simulasi Premi 1 (Personal)'!$E$38="Menurun",'Spek Produk'!W71,'Spek Produk'!W129)</f>
        <v>77.510000000000005</v>
      </c>
      <c r="X13" s="26">
        <f>IF('Simulasi Premi 1 (Personal)'!$E$38="Menurun",'Spek Produk'!X71,'Spek Produk'!X129)</f>
        <v>86.07</v>
      </c>
      <c r="Y13" s="26">
        <f>IF('Simulasi Premi 1 (Personal)'!$E$38="Menurun",'Spek Produk'!Y71,'Spek Produk'!Y129)</f>
        <v>94.6</v>
      </c>
      <c r="Z13" s="26">
        <f>IF('Simulasi Premi 1 (Personal)'!$E$38="Menurun",'Spek Produk'!Z71,'Spek Produk'!Z129)</f>
        <v>103.04</v>
      </c>
      <c r="AA13" s="26">
        <f>IF('Simulasi Premi 1 (Personal)'!$E$38="Menurun",'Spek Produk'!AA71,'Spek Produk'!AA129)</f>
        <v>111.36</v>
      </c>
      <c r="AB13" s="26">
        <f>IF('Simulasi Premi 1 (Personal)'!$E$38="Menurun",'Spek Produk'!AB71,'Spek Produk'!AB129)</f>
        <v>0</v>
      </c>
      <c r="AC13" s="26">
        <f>IF('Simulasi Premi 1 (Personal)'!$E$38="Menurun",'Spek Produk'!AC71,'Spek Produk'!AC129)</f>
        <v>0</v>
      </c>
      <c r="AD13" s="26">
        <f>IF('Simulasi Premi 1 (Personal)'!$E$38="Menurun",'Spek Produk'!AD71,'Spek Produk'!AD129)</f>
        <v>0</v>
      </c>
      <c r="AE13" s="26">
        <f>IF('Simulasi Premi 1 (Personal)'!$E$38="Menurun",'Spek Produk'!AE71,'Spek Produk'!AE129)</f>
        <v>0</v>
      </c>
      <c r="AF13" s="26">
        <f>IF('Simulasi Premi 1 (Personal)'!$E$38="Menurun",'Spek Produk'!AF71,'Spek Produk'!AF129)</f>
        <v>0</v>
      </c>
      <c r="AG13" s="26">
        <f>IF('Simulasi Premi 1 (Personal)'!$E$38="Menurun",'Spek Produk'!AG71,'Spek Produk'!AG129)</f>
        <v>0</v>
      </c>
      <c r="AH13" s="26">
        <f>IF('Simulasi Premi 1 (Personal)'!$E$38="Menurun",'Spek Produk'!AH71,'Spek Produk'!AH129)</f>
        <v>0</v>
      </c>
      <c r="AI13" s="26">
        <f>IF('Simulasi Premi 1 (Personal)'!$E$38="Menurun",'Spek Produk'!AI71,'Spek Produk'!AI129)</f>
        <v>0</v>
      </c>
      <c r="AJ13" s="26">
        <f>IF('Simulasi Premi 1 (Personal)'!$E$38="Menurun",'Spek Produk'!AJ71,'Spek Produk'!AJ129)</f>
        <v>0</v>
      </c>
      <c r="AK13" s="26">
        <f>IF('Simulasi Premi 1 (Personal)'!$E$38="Menurun",'Spek Produk'!AK71,'Spek Produk'!AK129)</f>
        <v>0</v>
      </c>
      <c r="AL13" s="26">
        <f>IF('Simulasi Premi 1 (Personal)'!$E$38="Menurun",'Spek Produk'!AL71,'Spek Produk'!AL129)</f>
        <v>0</v>
      </c>
      <c r="AM13" s="26">
        <f>IF('Simulasi Premi 1 (Personal)'!$E$38="Menurun",'Spek Produk'!AM71,'Spek Produk'!AM129)</f>
        <v>0</v>
      </c>
      <c r="AN13" s="26">
        <f>IF('Simulasi Premi 1 (Personal)'!$E$38="Menurun",'Spek Produk'!AN71,'Spek Produk'!AN129)</f>
        <v>0</v>
      </c>
      <c r="AO13" s="26">
        <f>IF('Simulasi Premi 1 (Personal)'!$E$38="Menurun",'Spek Produk'!AO71,'Spek Produk'!AO129)</f>
        <v>0</v>
      </c>
      <c r="AP13" s="26">
        <f>IF('Simulasi Premi 1 (Personal)'!$E$38="Menurun",'Spek Produk'!AP71,'Spek Produk'!AP129)</f>
        <v>0</v>
      </c>
      <c r="AR13" s="28">
        <f t="shared" si="1"/>
        <v>10</v>
      </c>
      <c r="AS13" s="27">
        <v>1</v>
      </c>
    </row>
    <row r="14" spans="2:45" x14ac:dyDescent="0.35">
      <c r="L14" s="24">
        <f t="shared" si="0"/>
        <v>26</v>
      </c>
      <c r="M14" s="26">
        <f>IF('Simulasi Premi 1 (Personal)'!$E$38="Menurun",'Spek Produk'!M72,'Spek Produk'!M130)</f>
        <v>4.82</v>
      </c>
      <c r="N14" s="26">
        <f>IF('Simulasi Premi 1 (Personal)'!$E$38="Menurun",'Spek Produk'!N72,'Spek Produk'!N130)</f>
        <v>9.92</v>
      </c>
      <c r="O14" s="26">
        <f>IF('Simulasi Premi 1 (Personal)'!$E$38="Menurun",'Spek Produk'!O72,'Spek Produk'!O130)</f>
        <v>15.74</v>
      </c>
      <c r="P14" s="26">
        <f>IF('Simulasi Premi 1 (Personal)'!$E$38="Menurun",'Spek Produk'!P72,'Spek Produk'!P130)</f>
        <v>22.18</v>
      </c>
      <c r="Q14" s="26">
        <f>IF('Simulasi Premi 1 (Personal)'!$E$38="Menurun",'Spek Produk'!Q72,'Spek Produk'!Q130)</f>
        <v>29.15</v>
      </c>
      <c r="R14" s="26">
        <f>IF('Simulasi Premi 1 (Personal)'!$E$38="Menurun",'Spek Produk'!R72,'Spek Produk'!R130)</f>
        <v>36.53</v>
      </c>
      <c r="S14" s="26">
        <f>IF('Simulasi Premi 1 (Personal)'!$E$38="Menurun",'Spek Produk'!S72,'Spek Produk'!S130)</f>
        <v>44.28</v>
      </c>
      <c r="T14" s="26">
        <f>IF('Simulasi Premi 1 (Personal)'!$E$38="Menurun",'Spek Produk'!T72,'Spek Produk'!T130)</f>
        <v>52.32</v>
      </c>
      <c r="U14" s="26">
        <f>IF('Simulasi Premi 1 (Personal)'!$E$38="Menurun",'Spek Produk'!U72,'Spek Produk'!U130)</f>
        <v>60.58</v>
      </c>
      <c r="V14" s="26">
        <f>IF('Simulasi Premi 1 (Personal)'!$E$38="Menurun",'Spek Produk'!V72,'Spek Produk'!V130)</f>
        <v>69</v>
      </c>
      <c r="W14" s="26">
        <f>IF('Simulasi Premi 1 (Personal)'!$E$38="Menurun",'Spek Produk'!W72,'Spek Produk'!W130)</f>
        <v>77.510000000000005</v>
      </c>
      <c r="X14" s="26">
        <f>IF('Simulasi Premi 1 (Personal)'!$E$38="Menurun",'Spek Produk'!X72,'Spek Produk'!X130)</f>
        <v>86.07</v>
      </c>
      <c r="Y14" s="26">
        <f>IF('Simulasi Premi 1 (Personal)'!$E$38="Menurun",'Spek Produk'!Y72,'Spek Produk'!Y130)</f>
        <v>94.6</v>
      </c>
      <c r="Z14" s="26">
        <f>IF('Simulasi Premi 1 (Personal)'!$E$38="Menurun",'Spek Produk'!Z72,'Spek Produk'!Z130)</f>
        <v>103.04</v>
      </c>
      <c r="AA14" s="26">
        <f>IF('Simulasi Premi 1 (Personal)'!$E$38="Menurun",'Spek Produk'!AA72,'Spek Produk'!AA130)</f>
        <v>111.36</v>
      </c>
      <c r="AB14" s="26">
        <f>IF('Simulasi Premi 1 (Personal)'!$E$38="Menurun",'Spek Produk'!AB72,'Spek Produk'!AB130)</f>
        <v>0</v>
      </c>
      <c r="AC14" s="26">
        <f>IF('Simulasi Premi 1 (Personal)'!$E$38="Menurun",'Spek Produk'!AC72,'Spek Produk'!AC130)</f>
        <v>0</v>
      </c>
      <c r="AD14" s="26">
        <f>IF('Simulasi Premi 1 (Personal)'!$E$38="Menurun",'Spek Produk'!AD72,'Spek Produk'!AD130)</f>
        <v>0</v>
      </c>
      <c r="AE14" s="26">
        <f>IF('Simulasi Premi 1 (Personal)'!$E$38="Menurun",'Spek Produk'!AE72,'Spek Produk'!AE130)</f>
        <v>0</v>
      </c>
      <c r="AF14" s="26">
        <f>IF('Simulasi Premi 1 (Personal)'!$E$38="Menurun",'Spek Produk'!AF72,'Spek Produk'!AF130)</f>
        <v>0</v>
      </c>
      <c r="AG14" s="26">
        <f>IF('Simulasi Premi 1 (Personal)'!$E$38="Menurun",'Spek Produk'!AG72,'Spek Produk'!AG130)</f>
        <v>0</v>
      </c>
      <c r="AH14" s="26">
        <f>IF('Simulasi Premi 1 (Personal)'!$E$38="Menurun",'Spek Produk'!AH72,'Spek Produk'!AH130)</f>
        <v>0</v>
      </c>
      <c r="AI14" s="26">
        <f>IF('Simulasi Premi 1 (Personal)'!$E$38="Menurun",'Spek Produk'!AI72,'Spek Produk'!AI130)</f>
        <v>0</v>
      </c>
      <c r="AJ14" s="26">
        <f>IF('Simulasi Premi 1 (Personal)'!$E$38="Menurun",'Spek Produk'!AJ72,'Spek Produk'!AJ130)</f>
        <v>0</v>
      </c>
      <c r="AK14" s="26">
        <f>IF('Simulasi Premi 1 (Personal)'!$E$38="Menurun",'Spek Produk'!AK72,'Spek Produk'!AK130)</f>
        <v>0</v>
      </c>
      <c r="AL14" s="26">
        <f>IF('Simulasi Premi 1 (Personal)'!$E$38="Menurun",'Spek Produk'!AL72,'Spek Produk'!AL130)</f>
        <v>0</v>
      </c>
      <c r="AM14" s="26">
        <f>IF('Simulasi Premi 1 (Personal)'!$E$38="Menurun",'Spek Produk'!AM72,'Spek Produk'!AM130)</f>
        <v>0</v>
      </c>
      <c r="AN14" s="26">
        <f>IF('Simulasi Premi 1 (Personal)'!$E$38="Menurun",'Spek Produk'!AN72,'Spek Produk'!AN130)</f>
        <v>0</v>
      </c>
      <c r="AO14" s="26">
        <f>IF('Simulasi Premi 1 (Personal)'!$E$38="Menurun",'Spek Produk'!AO72,'Spek Produk'!AO130)</f>
        <v>0</v>
      </c>
      <c r="AP14" s="26">
        <f>IF('Simulasi Premi 1 (Personal)'!$E$38="Menurun",'Spek Produk'!AP72,'Spek Produk'!AP130)</f>
        <v>0</v>
      </c>
      <c r="AR14" s="28">
        <f t="shared" si="1"/>
        <v>11</v>
      </c>
      <c r="AS14" s="27">
        <v>1</v>
      </c>
    </row>
    <row r="15" spans="2:45" x14ac:dyDescent="0.35">
      <c r="B15" s="4"/>
      <c r="C15" s="5"/>
      <c r="D15" s="5"/>
      <c r="E15" s="5"/>
      <c r="F15" s="5"/>
      <c r="G15" s="5"/>
      <c r="H15" s="5"/>
      <c r="I15" s="5"/>
      <c r="J15" s="6"/>
      <c r="L15" s="24">
        <f t="shared" si="0"/>
        <v>27</v>
      </c>
      <c r="M15" s="26">
        <f>IF('Simulasi Premi 1 (Personal)'!$E$38="Menurun",'Spek Produk'!M73,'Spek Produk'!M131)</f>
        <v>4.82</v>
      </c>
      <c r="N15" s="26">
        <f>IF('Simulasi Premi 1 (Personal)'!$E$38="Menurun",'Spek Produk'!N73,'Spek Produk'!N131)</f>
        <v>9.92</v>
      </c>
      <c r="O15" s="26">
        <f>IF('Simulasi Premi 1 (Personal)'!$E$38="Menurun",'Spek Produk'!O73,'Spek Produk'!O131)</f>
        <v>15.74</v>
      </c>
      <c r="P15" s="26">
        <f>IF('Simulasi Premi 1 (Personal)'!$E$38="Menurun",'Spek Produk'!P73,'Spek Produk'!P131)</f>
        <v>22.18</v>
      </c>
      <c r="Q15" s="26">
        <f>IF('Simulasi Premi 1 (Personal)'!$E$38="Menurun",'Spek Produk'!Q73,'Spek Produk'!Q131)</f>
        <v>29.15</v>
      </c>
      <c r="R15" s="26">
        <f>IF('Simulasi Premi 1 (Personal)'!$E$38="Menurun",'Spek Produk'!R73,'Spek Produk'!R131)</f>
        <v>36.53</v>
      </c>
      <c r="S15" s="26">
        <f>IF('Simulasi Premi 1 (Personal)'!$E$38="Menurun",'Spek Produk'!S73,'Spek Produk'!S131)</f>
        <v>44.28</v>
      </c>
      <c r="T15" s="26">
        <f>IF('Simulasi Premi 1 (Personal)'!$E$38="Menurun",'Spek Produk'!T73,'Spek Produk'!T131)</f>
        <v>52.32</v>
      </c>
      <c r="U15" s="26">
        <f>IF('Simulasi Premi 1 (Personal)'!$E$38="Menurun",'Spek Produk'!U73,'Spek Produk'!U131)</f>
        <v>60.58</v>
      </c>
      <c r="V15" s="26">
        <f>IF('Simulasi Premi 1 (Personal)'!$E$38="Menurun",'Spek Produk'!V73,'Spek Produk'!V131)</f>
        <v>69</v>
      </c>
      <c r="W15" s="26">
        <f>IF('Simulasi Premi 1 (Personal)'!$E$38="Menurun",'Spek Produk'!W73,'Spek Produk'!W131)</f>
        <v>77.510000000000005</v>
      </c>
      <c r="X15" s="26">
        <f>IF('Simulasi Premi 1 (Personal)'!$E$38="Menurun",'Spek Produk'!X73,'Spek Produk'!X131)</f>
        <v>86.07</v>
      </c>
      <c r="Y15" s="26">
        <f>IF('Simulasi Premi 1 (Personal)'!$E$38="Menurun",'Spek Produk'!Y73,'Spek Produk'!Y131)</f>
        <v>94.6</v>
      </c>
      <c r="Z15" s="26">
        <f>IF('Simulasi Premi 1 (Personal)'!$E$38="Menurun",'Spek Produk'!Z73,'Spek Produk'!Z131)</f>
        <v>103.04</v>
      </c>
      <c r="AA15" s="26">
        <f>IF('Simulasi Premi 1 (Personal)'!$E$38="Menurun",'Spek Produk'!AA73,'Spek Produk'!AA131)</f>
        <v>111.36</v>
      </c>
      <c r="AB15" s="26">
        <f>IF('Simulasi Premi 1 (Personal)'!$E$38="Menurun",'Spek Produk'!AB73,'Spek Produk'!AB131)</f>
        <v>0</v>
      </c>
      <c r="AC15" s="26">
        <f>IF('Simulasi Premi 1 (Personal)'!$E$38="Menurun",'Spek Produk'!AC73,'Spek Produk'!AC131)</f>
        <v>0</v>
      </c>
      <c r="AD15" s="26">
        <f>IF('Simulasi Premi 1 (Personal)'!$E$38="Menurun",'Spek Produk'!AD73,'Spek Produk'!AD131)</f>
        <v>0</v>
      </c>
      <c r="AE15" s="26">
        <f>IF('Simulasi Premi 1 (Personal)'!$E$38="Menurun",'Spek Produk'!AE73,'Spek Produk'!AE131)</f>
        <v>0</v>
      </c>
      <c r="AF15" s="26">
        <f>IF('Simulasi Premi 1 (Personal)'!$E$38="Menurun",'Spek Produk'!AF73,'Spek Produk'!AF131)</f>
        <v>0</v>
      </c>
      <c r="AG15" s="26">
        <f>IF('Simulasi Premi 1 (Personal)'!$E$38="Menurun",'Spek Produk'!AG73,'Spek Produk'!AG131)</f>
        <v>0</v>
      </c>
      <c r="AH15" s="26">
        <f>IF('Simulasi Premi 1 (Personal)'!$E$38="Menurun",'Spek Produk'!AH73,'Spek Produk'!AH131)</f>
        <v>0</v>
      </c>
      <c r="AI15" s="26">
        <f>IF('Simulasi Premi 1 (Personal)'!$E$38="Menurun",'Spek Produk'!AI73,'Spek Produk'!AI131)</f>
        <v>0</v>
      </c>
      <c r="AJ15" s="26">
        <f>IF('Simulasi Premi 1 (Personal)'!$E$38="Menurun",'Spek Produk'!AJ73,'Spek Produk'!AJ131)</f>
        <v>0</v>
      </c>
      <c r="AK15" s="26">
        <f>IF('Simulasi Premi 1 (Personal)'!$E$38="Menurun",'Spek Produk'!AK73,'Spek Produk'!AK131)</f>
        <v>0</v>
      </c>
      <c r="AL15" s="26">
        <f>IF('Simulasi Premi 1 (Personal)'!$E$38="Menurun",'Spek Produk'!AL73,'Spek Produk'!AL131)</f>
        <v>0</v>
      </c>
      <c r="AM15" s="26">
        <f>IF('Simulasi Premi 1 (Personal)'!$E$38="Menurun",'Spek Produk'!AM73,'Spek Produk'!AM131)</f>
        <v>0</v>
      </c>
      <c r="AN15" s="26">
        <f>IF('Simulasi Premi 1 (Personal)'!$E$38="Menurun",'Spek Produk'!AN73,'Spek Produk'!AN131)</f>
        <v>0</v>
      </c>
      <c r="AO15" s="26">
        <f>IF('Simulasi Premi 1 (Personal)'!$E$38="Menurun",'Spek Produk'!AO73,'Spek Produk'!AO131)</f>
        <v>0</v>
      </c>
      <c r="AP15" s="26">
        <f>IF('Simulasi Premi 1 (Personal)'!$E$38="Menurun",'Spek Produk'!AP73,'Spek Produk'!AP131)</f>
        <v>0</v>
      </c>
      <c r="AR15" s="28">
        <f t="shared" si="1"/>
        <v>12</v>
      </c>
      <c r="AS15" s="27">
        <v>1</v>
      </c>
    </row>
    <row r="16" spans="2:45" x14ac:dyDescent="0.35">
      <c r="B16" s="7"/>
      <c r="C16" s="8" t="s">
        <v>91</v>
      </c>
      <c r="D16" s="9"/>
      <c r="E16" s="9"/>
      <c r="F16" s="9"/>
      <c r="G16" s="9"/>
      <c r="H16" s="9"/>
      <c r="I16" s="9"/>
      <c r="J16" s="10"/>
      <c r="L16" s="24">
        <f t="shared" si="0"/>
        <v>28</v>
      </c>
      <c r="M16" s="26">
        <f>IF('Simulasi Premi 1 (Personal)'!$E$38="Menurun",'Spek Produk'!M74,'Spek Produk'!M132)</f>
        <v>4.82</v>
      </c>
      <c r="N16" s="26">
        <f>IF('Simulasi Premi 1 (Personal)'!$E$38="Menurun",'Spek Produk'!N74,'Spek Produk'!N132)</f>
        <v>9.92</v>
      </c>
      <c r="O16" s="26">
        <f>IF('Simulasi Premi 1 (Personal)'!$E$38="Menurun",'Spek Produk'!O74,'Spek Produk'!O132)</f>
        <v>15.74</v>
      </c>
      <c r="P16" s="26">
        <f>IF('Simulasi Premi 1 (Personal)'!$E$38="Menurun",'Spek Produk'!P74,'Spek Produk'!P132)</f>
        <v>22.18</v>
      </c>
      <c r="Q16" s="26">
        <f>IF('Simulasi Premi 1 (Personal)'!$E$38="Menurun",'Spek Produk'!Q74,'Spek Produk'!Q132)</f>
        <v>29.15</v>
      </c>
      <c r="R16" s="26">
        <f>IF('Simulasi Premi 1 (Personal)'!$E$38="Menurun",'Spek Produk'!R74,'Spek Produk'!R132)</f>
        <v>36.53</v>
      </c>
      <c r="S16" s="26">
        <f>IF('Simulasi Premi 1 (Personal)'!$E$38="Menurun",'Spek Produk'!S74,'Spek Produk'!S132)</f>
        <v>44.28</v>
      </c>
      <c r="T16" s="26">
        <f>IF('Simulasi Premi 1 (Personal)'!$E$38="Menurun",'Spek Produk'!T74,'Spek Produk'!T132)</f>
        <v>52.32</v>
      </c>
      <c r="U16" s="26">
        <f>IF('Simulasi Premi 1 (Personal)'!$E$38="Menurun",'Spek Produk'!U74,'Spek Produk'!U132)</f>
        <v>60.58</v>
      </c>
      <c r="V16" s="26">
        <f>IF('Simulasi Premi 1 (Personal)'!$E$38="Menurun",'Spek Produk'!V74,'Spek Produk'!V132)</f>
        <v>69</v>
      </c>
      <c r="W16" s="26">
        <f>IF('Simulasi Premi 1 (Personal)'!$E$38="Menurun",'Spek Produk'!W74,'Spek Produk'!W132)</f>
        <v>77.510000000000005</v>
      </c>
      <c r="X16" s="26">
        <f>IF('Simulasi Premi 1 (Personal)'!$E$38="Menurun",'Spek Produk'!X74,'Spek Produk'!X132)</f>
        <v>86.07</v>
      </c>
      <c r="Y16" s="26">
        <f>IF('Simulasi Premi 1 (Personal)'!$E$38="Menurun",'Spek Produk'!Y74,'Spek Produk'!Y132)</f>
        <v>94.6</v>
      </c>
      <c r="Z16" s="26">
        <f>IF('Simulasi Premi 1 (Personal)'!$E$38="Menurun",'Spek Produk'!Z74,'Spek Produk'!Z132)</f>
        <v>103.04</v>
      </c>
      <c r="AA16" s="26">
        <f>IF('Simulasi Premi 1 (Personal)'!$E$38="Menurun",'Spek Produk'!AA74,'Spek Produk'!AA132)</f>
        <v>111.36</v>
      </c>
      <c r="AB16" s="26">
        <f>IF('Simulasi Premi 1 (Personal)'!$E$38="Menurun",'Spek Produk'!AB74,'Spek Produk'!AB132)</f>
        <v>0</v>
      </c>
      <c r="AC16" s="26">
        <f>IF('Simulasi Premi 1 (Personal)'!$E$38="Menurun",'Spek Produk'!AC74,'Spek Produk'!AC132)</f>
        <v>0</v>
      </c>
      <c r="AD16" s="26">
        <f>IF('Simulasi Premi 1 (Personal)'!$E$38="Menurun",'Spek Produk'!AD74,'Spek Produk'!AD132)</f>
        <v>0</v>
      </c>
      <c r="AE16" s="26">
        <f>IF('Simulasi Premi 1 (Personal)'!$E$38="Menurun",'Spek Produk'!AE74,'Spek Produk'!AE132)</f>
        <v>0</v>
      </c>
      <c r="AF16" s="26">
        <f>IF('Simulasi Premi 1 (Personal)'!$E$38="Menurun",'Spek Produk'!AF74,'Spek Produk'!AF132)</f>
        <v>0</v>
      </c>
      <c r="AG16" s="26">
        <f>IF('Simulasi Premi 1 (Personal)'!$E$38="Menurun",'Spek Produk'!AG74,'Spek Produk'!AG132)</f>
        <v>0</v>
      </c>
      <c r="AH16" s="26">
        <f>IF('Simulasi Premi 1 (Personal)'!$E$38="Menurun",'Spek Produk'!AH74,'Spek Produk'!AH132)</f>
        <v>0</v>
      </c>
      <c r="AI16" s="26">
        <f>IF('Simulasi Premi 1 (Personal)'!$E$38="Menurun",'Spek Produk'!AI74,'Spek Produk'!AI132)</f>
        <v>0</v>
      </c>
      <c r="AJ16" s="26">
        <f>IF('Simulasi Premi 1 (Personal)'!$E$38="Menurun",'Spek Produk'!AJ74,'Spek Produk'!AJ132)</f>
        <v>0</v>
      </c>
      <c r="AK16" s="26">
        <f>IF('Simulasi Premi 1 (Personal)'!$E$38="Menurun",'Spek Produk'!AK74,'Spek Produk'!AK132)</f>
        <v>0</v>
      </c>
      <c r="AL16" s="26">
        <f>IF('Simulasi Premi 1 (Personal)'!$E$38="Menurun",'Spek Produk'!AL74,'Spek Produk'!AL132)</f>
        <v>0</v>
      </c>
      <c r="AM16" s="26">
        <f>IF('Simulasi Premi 1 (Personal)'!$E$38="Menurun",'Spek Produk'!AM74,'Spek Produk'!AM132)</f>
        <v>0</v>
      </c>
      <c r="AN16" s="26">
        <f>IF('Simulasi Premi 1 (Personal)'!$E$38="Menurun",'Spek Produk'!AN74,'Spek Produk'!AN132)</f>
        <v>0</v>
      </c>
      <c r="AO16" s="26">
        <f>IF('Simulasi Premi 1 (Personal)'!$E$38="Menurun",'Spek Produk'!AO74,'Spek Produk'!AO132)</f>
        <v>0</v>
      </c>
      <c r="AP16" s="26">
        <f>IF('Simulasi Premi 1 (Personal)'!$E$38="Menurun",'Spek Produk'!AP74,'Spek Produk'!AP132)</f>
        <v>0</v>
      </c>
    </row>
    <row r="17" spans="2:45" x14ac:dyDescent="0.35">
      <c r="B17" s="7"/>
      <c r="C17" s="8"/>
      <c r="D17" s="9"/>
      <c r="E17" s="9"/>
      <c r="F17" s="9"/>
      <c r="G17" s="9"/>
      <c r="H17" s="9"/>
      <c r="I17" s="9"/>
      <c r="J17" s="10"/>
      <c r="L17" s="24">
        <f t="shared" si="0"/>
        <v>29</v>
      </c>
      <c r="M17" s="26">
        <f>IF('Simulasi Premi 1 (Personal)'!$E$38="Menurun",'Spek Produk'!M75,'Spek Produk'!M133)</f>
        <v>4.82</v>
      </c>
      <c r="N17" s="26">
        <f>IF('Simulasi Premi 1 (Personal)'!$E$38="Menurun",'Spek Produk'!N75,'Spek Produk'!N133)</f>
        <v>9.92</v>
      </c>
      <c r="O17" s="26">
        <f>IF('Simulasi Premi 1 (Personal)'!$E$38="Menurun",'Spek Produk'!O75,'Spek Produk'!O133)</f>
        <v>15.74</v>
      </c>
      <c r="P17" s="26">
        <f>IF('Simulasi Premi 1 (Personal)'!$E$38="Menurun",'Spek Produk'!P75,'Spek Produk'!P133)</f>
        <v>22.18</v>
      </c>
      <c r="Q17" s="26">
        <f>IF('Simulasi Premi 1 (Personal)'!$E$38="Menurun",'Spek Produk'!Q75,'Spek Produk'!Q133)</f>
        <v>29.15</v>
      </c>
      <c r="R17" s="26">
        <f>IF('Simulasi Premi 1 (Personal)'!$E$38="Menurun",'Spek Produk'!R75,'Spek Produk'!R133)</f>
        <v>36.53</v>
      </c>
      <c r="S17" s="26">
        <f>IF('Simulasi Premi 1 (Personal)'!$E$38="Menurun",'Spek Produk'!S75,'Spek Produk'!S133)</f>
        <v>44.28</v>
      </c>
      <c r="T17" s="26">
        <f>IF('Simulasi Premi 1 (Personal)'!$E$38="Menurun",'Spek Produk'!T75,'Spek Produk'!T133)</f>
        <v>52.32</v>
      </c>
      <c r="U17" s="26">
        <f>IF('Simulasi Premi 1 (Personal)'!$E$38="Menurun",'Spek Produk'!U75,'Spek Produk'!U133)</f>
        <v>60.58</v>
      </c>
      <c r="V17" s="26">
        <f>IF('Simulasi Premi 1 (Personal)'!$E$38="Menurun",'Spek Produk'!V75,'Spek Produk'!V133)</f>
        <v>69</v>
      </c>
      <c r="W17" s="26">
        <f>IF('Simulasi Premi 1 (Personal)'!$E$38="Menurun",'Spek Produk'!W75,'Spek Produk'!W133)</f>
        <v>77.510000000000005</v>
      </c>
      <c r="X17" s="26">
        <f>IF('Simulasi Premi 1 (Personal)'!$E$38="Menurun",'Spek Produk'!X75,'Spek Produk'!X133)</f>
        <v>86.07</v>
      </c>
      <c r="Y17" s="26">
        <f>IF('Simulasi Premi 1 (Personal)'!$E$38="Menurun",'Spek Produk'!Y75,'Spek Produk'!Y133)</f>
        <v>94.6</v>
      </c>
      <c r="Z17" s="26">
        <f>IF('Simulasi Premi 1 (Personal)'!$E$38="Menurun",'Spek Produk'!Z75,'Spek Produk'!Z133)</f>
        <v>103.04</v>
      </c>
      <c r="AA17" s="26">
        <f>IF('Simulasi Premi 1 (Personal)'!$E$38="Menurun",'Spek Produk'!AA75,'Spek Produk'!AA133)</f>
        <v>111.36</v>
      </c>
      <c r="AB17" s="26">
        <f>IF('Simulasi Premi 1 (Personal)'!$E$38="Menurun",'Spek Produk'!AB75,'Spek Produk'!AB133)</f>
        <v>0</v>
      </c>
      <c r="AC17" s="26">
        <f>IF('Simulasi Premi 1 (Personal)'!$E$38="Menurun",'Spek Produk'!AC75,'Spek Produk'!AC133)</f>
        <v>0</v>
      </c>
      <c r="AD17" s="26">
        <f>IF('Simulasi Premi 1 (Personal)'!$E$38="Menurun",'Spek Produk'!AD75,'Spek Produk'!AD133)</f>
        <v>0</v>
      </c>
      <c r="AE17" s="26">
        <f>IF('Simulasi Premi 1 (Personal)'!$E$38="Menurun",'Spek Produk'!AE75,'Spek Produk'!AE133)</f>
        <v>0</v>
      </c>
      <c r="AF17" s="26">
        <f>IF('Simulasi Premi 1 (Personal)'!$E$38="Menurun",'Spek Produk'!AF75,'Spek Produk'!AF133)</f>
        <v>0</v>
      </c>
      <c r="AG17" s="26">
        <f>IF('Simulasi Premi 1 (Personal)'!$E$38="Menurun",'Spek Produk'!AG75,'Spek Produk'!AG133)</f>
        <v>0</v>
      </c>
      <c r="AH17" s="26">
        <f>IF('Simulasi Premi 1 (Personal)'!$E$38="Menurun",'Spek Produk'!AH75,'Spek Produk'!AH133)</f>
        <v>0</v>
      </c>
      <c r="AI17" s="26">
        <f>IF('Simulasi Premi 1 (Personal)'!$E$38="Menurun",'Spek Produk'!AI75,'Spek Produk'!AI133)</f>
        <v>0</v>
      </c>
      <c r="AJ17" s="26">
        <f>IF('Simulasi Premi 1 (Personal)'!$E$38="Menurun",'Spek Produk'!AJ75,'Spek Produk'!AJ133)</f>
        <v>0</v>
      </c>
      <c r="AK17" s="26">
        <f>IF('Simulasi Premi 1 (Personal)'!$E$38="Menurun",'Spek Produk'!AK75,'Spek Produk'!AK133)</f>
        <v>0</v>
      </c>
      <c r="AL17" s="26">
        <f>IF('Simulasi Premi 1 (Personal)'!$E$38="Menurun",'Spek Produk'!AL75,'Spek Produk'!AL133)</f>
        <v>0</v>
      </c>
      <c r="AM17" s="26">
        <f>IF('Simulasi Premi 1 (Personal)'!$E$38="Menurun",'Spek Produk'!AM75,'Spek Produk'!AM133)</f>
        <v>0</v>
      </c>
      <c r="AN17" s="26">
        <f>IF('Simulasi Premi 1 (Personal)'!$E$38="Menurun",'Spek Produk'!AN75,'Spek Produk'!AN133)</f>
        <v>0</v>
      </c>
      <c r="AO17" s="26">
        <f>IF('Simulasi Premi 1 (Personal)'!$E$38="Menurun",'Spek Produk'!AO75,'Spek Produk'!AO133)</f>
        <v>0</v>
      </c>
      <c r="AP17" s="26">
        <f>IF('Simulasi Premi 1 (Personal)'!$E$38="Menurun",'Spek Produk'!AP75,'Spek Produk'!AP133)</f>
        <v>0</v>
      </c>
      <c r="AR17" s="29" t="s">
        <v>58</v>
      </c>
      <c r="AS17" s="29" t="s">
        <v>59</v>
      </c>
    </row>
    <row r="18" spans="2:45" x14ac:dyDescent="0.35">
      <c r="B18" s="7"/>
      <c r="C18" s="9" t="s">
        <v>35</v>
      </c>
      <c r="D18" s="9"/>
      <c r="E18" s="11" t="s">
        <v>24</v>
      </c>
      <c r="F18" s="139" t="s">
        <v>47</v>
      </c>
      <c r="G18" s="140"/>
      <c r="H18" s="140"/>
      <c r="I18" s="141"/>
      <c r="J18" s="10"/>
      <c r="L18" s="24">
        <f t="shared" si="0"/>
        <v>30</v>
      </c>
      <c r="M18" s="26">
        <f>IF('Simulasi Premi 1 (Personal)'!$E$38="Menurun",'Spek Produk'!M76,'Spek Produk'!M134)</f>
        <v>4.82</v>
      </c>
      <c r="N18" s="26">
        <f>IF('Simulasi Premi 1 (Personal)'!$E$38="Menurun",'Spek Produk'!N76,'Spek Produk'!N134)</f>
        <v>9.92</v>
      </c>
      <c r="O18" s="26">
        <f>IF('Simulasi Premi 1 (Personal)'!$E$38="Menurun",'Spek Produk'!O76,'Spek Produk'!O134)</f>
        <v>15.74</v>
      </c>
      <c r="P18" s="26">
        <f>IF('Simulasi Premi 1 (Personal)'!$E$38="Menurun",'Spek Produk'!P76,'Spek Produk'!P134)</f>
        <v>22.18</v>
      </c>
      <c r="Q18" s="26">
        <f>IF('Simulasi Premi 1 (Personal)'!$E$38="Menurun",'Spek Produk'!Q76,'Spek Produk'!Q134)</f>
        <v>29.15</v>
      </c>
      <c r="R18" s="26">
        <f>IF('Simulasi Premi 1 (Personal)'!$E$38="Menurun",'Spek Produk'!R76,'Spek Produk'!R134)</f>
        <v>36.53</v>
      </c>
      <c r="S18" s="26">
        <f>IF('Simulasi Premi 1 (Personal)'!$E$38="Menurun",'Spek Produk'!S76,'Spek Produk'!S134)</f>
        <v>44.28</v>
      </c>
      <c r="T18" s="26">
        <f>IF('Simulasi Premi 1 (Personal)'!$E$38="Menurun",'Spek Produk'!T76,'Spek Produk'!T134)</f>
        <v>52.32</v>
      </c>
      <c r="U18" s="26">
        <f>IF('Simulasi Premi 1 (Personal)'!$E$38="Menurun",'Spek Produk'!U76,'Spek Produk'!U134)</f>
        <v>60.58</v>
      </c>
      <c r="V18" s="26">
        <f>IF('Simulasi Premi 1 (Personal)'!$E$38="Menurun",'Spek Produk'!V76,'Spek Produk'!V134)</f>
        <v>69</v>
      </c>
      <c r="W18" s="26">
        <f>IF('Simulasi Premi 1 (Personal)'!$E$38="Menurun",'Spek Produk'!W76,'Spek Produk'!W134)</f>
        <v>77.510000000000005</v>
      </c>
      <c r="X18" s="26">
        <f>IF('Simulasi Premi 1 (Personal)'!$E$38="Menurun",'Spek Produk'!X76,'Spek Produk'!X134)</f>
        <v>86.07</v>
      </c>
      <c r="Y18" s="26">
        <f>IF('Simulasi Premi 1 (Personal)'!$E$38="Menurun",'Spek Produk'!Y76,'Spek Produk'!Y134)</f>
        <v>94.6</v>
      </c>
      <c r="Z18" s="26">
        <f>IF('Simulasi Premi 1 (Personal)'!$E$38="Menurun",'Spek Produk'!Z76,'Spek Produk'!Z134)</f>
        <v>103.04</v>
      </c>
      <c r="AA18" s="26">
        <f>IF('Simulasi Premi 1 (Personal)'!$E$38="Menurun",'Spek Produk'!AA76,'Spek Produk'!AA134)</f>
        <v>111.36</v>
      </c>
      <c r="AB18" s="26">
        <f>IF('Simulasi Premi 1 (Personal)'!$E$38="Menurun",'Spek Produk'!AB76,'Spek Produk'!AB134)</f>
        <v>0</v>
      </c>
      <c r="AC18" s="26">
        <f>IF('Simulasi Premi 1 (Personal)'!$E$38="Menurun",'Spek Produk'!AC76,'Spek Produk'!AC134)</f>
        <v>0</v>
      </c>
      <c r="AD18" s="26">
        <f>IF('Simulasi Premi 1 (Personal)'!$E$38="Menurun",'Spek Produk'!AD76,'Spek Produk'!AD134)</f>
        <v>0</v>
      </c>
      <c r="AE18" s="26">
        <f>IF('Simulasi Premi 1 (Personal)'!$E$38="Menurun",'Spek Produk'!AE76,'Spek Produk'!AE134)</f>
        <v>0</v>
      </c>
      <c r="AF18" s="26">
        <f>IF('Simulasi Premi 1 (Personal)'!$E$38="Menurun",'Spek Produk'!AF76,'Spek Produk'!AF134)</f>
        <v>0</v>
      </c>
      <c r="AG18" s="26">
        <f>IF('Simulasi Premi 1 (Personal)'!$E$38="Menurun",'Spek Produk'!AG76,'Spek Produk'!AG134)</f>
        <v>0</v>
      </c>
      <c r="AH18" s="26">
        <f>IF('Simulasi Premi 1 (Personal)'!$E$38="Menurun",'Spek Produk'!AH76,'Spek Produk'!AH134)</f>
        <v>0</v>
      </c>
      <c r="AI18" s="26">
        <f>IF('Simulasi Premi 1 (Personal)'!$E$38="Menurun",'Spek Produk'!AI76,'Spek Produk'!AI134)</f>
        <v>0</v>
      </c>
      <c r="AJ18" s="26">
        <f>IF('Simulasi Premi 1 (Personal)'!$E$38="Menurun",'Spek Produk'!AJ76,'Spek Produk'!AJ134)</f>
        <v>0</v>
      </c>
      <c r="AK18" s="26">
        <f>IF('Simulasi Premi 1 (Personal)'!$E$38="Menurun",'Spek Produk'!AK76,'Spek Produk'!AK134)</f>
        <v>0</v>
      </c>
      <c r="AL18" s="26">
        <f>IF('Simulasi Premi 1 (Personal)'!$E$38="Menurun",'Spek Produk'!AL76,'Spek Produk'!AL134)</f>
        <v>0</v>
      </c>
      <c r="AM18" s="26">
        <f>IF('Simulasi Premi 1 (Personal)'!$E$38="Menurun",'Spek Produk'!AM76,'Spek Produk'!AM134)</f>
        <v>0</v>
      </c>
      <c r="AN18" s="26">
        <f>IF('Simulasi Premi 1 (Personal)'!$E$38="Menurun",'Spek Produk'!AN76,'Spek Produk'!AN134)</f>
        <v>0</v>
      </c>
      <c r="AO18" s="26">
        <f>IF('Simulasi Premi 1 (Personal)'!$E$38="Menurun",'Spek Produk'!AO76,'Spek Produk'!AO134)</f>
        <v>0</v>
      </c>
      <c r="AP18" s="26">
        <f>IF('Simulasi Premi 1 (Personal)'!$E$38="Menurun",'Spek Produk'!AP76,'Spek Produk'!AP134)</f>
        <v>0</v>
      </c>
      <c r="AR18" s="29" t="s">
        <v>48</v>
      </c>
      <c r="AS18" s="30" t="s">
        <v>53</v>
      </c>
    </row>
    <row r="19" spans="2:45" x14ac:dyDescent="0.35">
      <c r="B19" s="7"/>
      <c r="C19" s="9" t="s">
        <v>36</v>
      </c>
      <c r="D19" s="9"/>
      <c r="E19" s="11" t="s">
        <v>24</v>
      </c>
      <c r="F19" s="139" t="s">
        <v>111</v>
      </c>
      <c r="G19" s="140"/>
      <c r="H19" s="140"/>
      <c r="I19" s="141"/>
      <c r="J19" s="10"/>
      <c r="L19" s="24">
        <f t="shared" si="0"/>
        <v>31</v>
      </c>
      <c r="M19" s="26">
        <f>IF('Simulasi Premi 1 (Personal)'!$E$38="Menurun",'Spek Produk'!M77,'Spek Produk'!M135)</f>
        <v>4.82</v>
      </c>
      <c r="N19" s="26">
        <f>IF('Simulasi Premi 1 (Personal)'!$E$38="Menurun",'Spek Produk'!N77,'Spek Produk'!N135)</f>
        <v>9.92</v>
      </c>
      <c r="O19" s="26">
        <f>IF('Simulasi Premi 1 (Personal)'!$E$38="Menurun",'Spek Produk'!O77,'Spek Produk'!O135)</f>
        <v>15.74</v>
      </c>
      <c r="P19" s="26">
        <f>IF('Simulasi Premi 1 (Personal)'!$E$38="Menurun",'Spek Produk'!P77,'Spek Produk'!P135)</f>
        <v>22.18</v>
      </c>
      <c r="Q19" s="26">
        <f>IF('Simulasi Premi 1 (Personal)'!$E$38="Menurun",'Spek Produk'!Q77,'Spek Produk'!Q135)</f>
        <v>29.15</v>
      </c>
      <c r="R19" s="26">
        <f>IF('Simulasi Premi 1 (Personal)'!$E$38="Menurun",'Spek Produk'!R77,'Spek Produk'!R135)</f>
        <v>36.53</v>
      </c>
      <c r="S19" s="26">
        <f>IF('Simulasi Premi 1 (Personal)'!$E$38="Menurun",'Spek Produk'!S77,'Spek Produk'!S135)</f>
        <v>44.28</v>
      </c>
      <c r="T19" s="26">
        <f>IF('Simulasi Premi 1 (Personal)'!$E$38="Menurun",'Spek Produk'!T77,'Spek Produk'!T135)</f>
        <v>52.32</v>
      </c>
      <c r="U19" s="26">
        <f>IF('Simulasi Premi 1 (Personal)'!$E$38="Menurun",'Spek Produk'!U77,'Spek Produk'!U135)</f>
        <v>60.58</v>
      </c>
      <c r="V19" s="26">
        <f>IF('Simulasi Premi 1 (Personal)'!$E$38="Menurun",'Spek Produk'!V77,'Spek Produk'!V135)</f>
        <v>69</v>
      </c>
      <c r="W19" s="26">
        <f>IF('Simulasi Premi 1 (Personal)'!$E$38="Menurun",'Spek Produk'!W77,'Spek Produk'!W135)</f>
        <v>77.510000000000005</v>
      </c>
      <c r="X19" s="26">
        <f>IF('Simulasi Premi 1 (Personal)'!$E$38="Menurun",'Spek Produk'!X77,'Spek Produk'!X135)</f>
        <v>86.07</v>
      </c>
      <c r="Y19" s="26">
        <f>IF('Simulasi Premi 1 (Personal)'!$E$38="Menurun",'Spek Produk'!Y77,'Spek Produk'!Y135)</f>
        <v>94.6</v>
      </c>
      <c r="Z19" s="26">
        <f>IF('Simulasi Premi 1 (Personal)'!$E$38="Menurun",'Spek Produk'!Z77,'Spek Produk'!Z135)</f>
        <v>103.04</v>
      </c>
      <c r="AA19" s="26">
        <f>IF('Simulasi Premi 1 (Personal)'!$E$38="Menurun",'Spek Produk'!AA77,'Spek Produk'!AA135)</f>
        <v>111.36</v>
      </c>
      <c r="AB19" s="26">
        <f>IF('Simulasi Premi 1 (Personal)'!$E$38="Menurun",'Spek Produk'!AB77,'Spek Produk'!AB135)</f>
        <v>0</v>
      </c>
      <c r="AC19" s="26">
        <f>IF('Simulasi Premi 1 (Personal)'!$E$38="Menurun",'Spek Produk'!AC77,'Spek Produk'!AC135)</f>
        <v>0</v>
      </c>
      <c r="AD19" s="26">
        <f>IF('Simulasi Premi 1 (Personal)'!$E$38="Menurun",'Spek Produk'!AD77,'Spek Produk'!AD135)</f>
        <v>0</v>
      </c>
      <c r="AE19" s="26">
        <f>IF('Simulasi Premi 1 (Personal)'!$E$38="Menurun",'Spek Produk'!AE77,'Spek Produk'!AE135)</f>
        <v>0</v>
      </c>
      <c r="AF19" s="26">
        <f>IF('Simulasi Premi 1 (Personal)'!$E$38="Menurun",'Spek Produk'!AF77,'Spek Produk'!AF135)</f>
        <v>0</v>
      </c>
      <c r="AG19" s="26">
        <f>IF('Simulasi Premi 1 (Personal)'!$E$38="Menurun",'Spek Produk'!AG77,'Spek Produk'!AG135)</f>
        <v>0</v>
      </c>
      <c r="AH19" s="26">
        <f>IF('Simulasi Premi 1 (Personal)'!$E$38="Menurun",'Spek Produk'!AH77,'Spek Produk'!AH135)</f>
        <v>0</v>
      </c>
      <c r="AI19" s="26">
        <f>IF('Simulasi Premi 1 (Personal)'!$E$38="Menurun",'Spek Produk'!AI77,'Spek Produk'!AI135)</f>
        <v>0</v>
      </c>
      <c r="AJ19" s="26">
        <f>IF('Simulasi Premi 1 (Personal)'!$E$38="Menurun",'Spek Produk'!AJ77,'Spek Produk'!AJ135)</f>
        <v>0</v>
      </c>
      <c r="AK19" s="26">
        <f>IF('Simulasi Premi 1 (Personal)'!$E$38="Menurun",'Spek Produk'!AK77,'Spek Produk'!AK135)</f>
        <v>0</v>
      </c>
      <c r="AL19" s="26">
        <f>IF('Simulasi Premi 1 (Personal)'!$E$38="Menurun",'Spek Produk'!AL77,'Spek Produk'!AL135)</f>
        <v>0</v>
      </c>
      <c r="AM19" s="26">
        <f>IF('Simulasi Premi 1 (Personal)'!$E$38="Menurun",'Spek Produk'!AM77,'Spek Produk'!AM135)</f>
        <v>0</v>
      </c>
      <c r="AN19" s="26">
        <f>IF('Simulasi Premi 1 (Personal)'!$E$38="Menurun",'Spek Produk'!AN77,'Spek Produk'!AN135)</f>
        <v>0</v>
      </c>
      <c r="AO19" s="26">
        <f>IF('Simulasi Premi 1 (Personal)'!$E$38="Menurun",'Spek Produk'!AO77,'Spek Produk'!AO135)</f>
        <v>0</v>
      </c>
      <c r="AP19" s="26">
        <f>IF('Simulasi Premi 1 (Personal)'!$E$38="Menurun",'Spek Produk'!AP77,'Spek Produk'!AP135)</f>
        <v>0</v>
      </c>
      <c r="AR19" s="29" t="s">
        <v>49</v>
      </c>
      <c r="AS19" s="30" t="s">
        <v>54</v>
      </c>
    </row>
    <row r="20" spans="2:45" x14ac:dyDescent="0.35">
      <c r="B20" s="7"/>
      <c r="C20" s="9" t="s">
        <v>37</v>
      </c>
      <c r="D20" s="9"/>
      <c r="E20" s="11" t="s">
        <v>24</v>
      </c>
      <c r="F20" s="142">
        <v>500000000</v>
      </c>
      <c r="G20" s="143"/>
      <c r="H20" s="143"/>
      <c r="I20" s="144"/>
      <c r="J20" s="10"/>
      <c r="L20" s="24">
        <f t="shared" si="0"/>
        <v>32</v>
      </c>
      <c r="M20" s="26">
        <f>IF('Simulasi Premi 1 (Personal)'!$E$38="Menurun",'Spek Produk'!M78,'Spek Produk'!M136)</f>
        <v>4.82</v>
      </c>
      <c r="N20" s="26">
        <f>IF('Simulasi Premi 1 (Personal)'!$E$38="Menurun",'Spek Produk'!N78,'Spek Produk'!N136)</f>
        <v>9.92</v>
      </c>
      <c r="O20" s="26">
        <f>IF('Simulasi Premi 1 (Personal)'!$E$38="Menurun",'Spek Produk'!O78,'Spek Produk'!O136)</f>
        <v>15.74</v>
      </c>
      <c r="P20" s="26">
        <f>IF('Simulasi Premi 1 (Personal)'!$E$38="Menurun",'Spek Produk'!P78,'Spek Produk'!P136)</f>
        <v>22.18</v>
      </c>
      <c r="Q20" s="26">
        <f>IF('Simulasi Premi 1 (Personal)'!$E$38="Menurun",'Spek Produk'!Q78,'Spek Produk'!Q136)</f>
        <v>29.15</v>
      </c>
      <c r="R20" s="26">
        <f>IF('Simulasi Premi 1 (Personal)'!$E$38="Menurun",'Spek Produk'!R78,'Spek Produk'!R136)</f>
        <v>36.53</v>
      </c>
      <c r="S20" s="26">
        <f>IF('Simulasi Premi 1 (Personal)'!$E$38="Menurun",'Spek Produk'!S78,'Spek Produk'!S136)</f>
        <v>44.28</v>
      </c>
      <c r="T20" s="26">
        <f>IF('Simulasi Premi 1 (Personal)'!$E$38="Menurun",'Spek Produk'!T78,'Spek Produk'!T136)</f>
        <v>52.32</v>
      </c>
      <c r="U20" s="26">
        <f>IF('Simulasi Premi 1 (Personal)'!$E$38="Menurun",'Spek Produk'!U78,'Spek Produk'!U136)</f>
        <v>60.58</v>
      </c>
      <c r="V20" s="26">
        <f>IF('Simulasi Premi 1 (Personal)'!$E$38="Menurun",'Spek Produk'!V78,'Spek Produk'!V136)</f>
        <v>69</v>
      </c>
      <c r="W20" s="26">
        <f>IF('Simulasi Premi 1 (Personal)'!$E$38="Menurun",'Spek Produk'!W78,'Spek Produk'!W136)</f>
        <v>77.510000000000005</v>
      </c>
      <c r="X20" s="26">
        <f>IF('Simulasi Premi 1 (Personal)'!$E$38="Menurun",'Spek Produk'!X78,'Spek Produk'!X136)</f>
        <v>86.07</v>
      </c>
      <c r="Y20" s="26">
        <f>IF('Simulasi Premi 1 (Personal)'!$E$38="Menurun",'Spek Produk'!Y78,'Spek Produk'!Y136)</f>
        <v>94.6</v>
      </c>
      <c r="Z20" s="26">
        <f>IF('Simulasi Premi 1 (Personal)'!$E$38="Menurun",'Spek Produk'!Z78,'Spek Produk'!Z136)</f>
        <v>103.04</v>
      </c>
      <c r="AA20" s="26">
        <f>IF('Simulasi Premi 1 (Personal)'!$E$38="Menurun",'Spek Produk'!AA78,'Spek Produk'!AA136)</f>
        <v>111.36</v>
      </c>
      <c r="AB20" s="26">
        <f>IF('Simulasi Premi 1 (Personal)'!$E$38="Menurun",'Spek Produk'!AB78,'Spek Produk'!AB136)</f>
        <v>0</v>
      </c>
      <c r="AC20" s="26">
        <f>IF('Simulasi Premi 1 (Personal)'!$E$38="Menurun",'Spek Produk'!AC78,'Spek Produk'!AC136)</f>
        <v>0</v>
      </c>
      <c r="AD20" s="26">
        <f>IF('Simulasi Premi 1 (Personal)'!$E$38="Menurun",'Spek Produk'!AD78,'Spek Produk'!AD136)</f>
        <v>0</v>
      </c>
      <c r="AE20" s="26">
        <f>IF('Simulasi Premi 1 (Personal)'!$E$38="Menurun",'Spek Produk'!AE78,'Spek Produk'!AE136)</f>
        <v>0</v>
      </c>
      <c r="AF20" s="26">
        <f>IF('Simulasi Premi 1 (Personal)'!$E$38="Menurun",'Spek Produk'!AF78,'Spek Produk'!AF136)</f>
        <v>0</v>
      </c>
      <c r="AG20" s="26">
        <f>IF('Simulasi Premi 1 (Personal)'!$E$38="Menurun",'Spek Produk'!AG78,'Spek Produk'!AG136)</f>
        <v>0</v>
      </c>
      <c r="AH20" s="26">
        <f>IF('Simulasi Premi 1 (Personal)'!$E$38="Menurun",'Spek Produk'!AH78,'Spek Produk'!AH136)</f>
        <v>0</v>
      </c>
      <c r="AI20" s="26">
        <f>IF('Simulasi Premi 1 (Personal)'!$E$38="Menurun",'Spek Produk'!AI78,'Spek Produk'!AI136)</f>
        <v>0</v>
      </c>
      <c r="AJ20" s="26">
        <f>IF('Simulasi Premi 1 (Personal)'!$E$38="Menurun",'Spek Produk'!AJ78,'Spek Produk'!AJ136)</f>
        <v>0</v>
      </c>
      <c r="AK20" s="26">
        <f>IF('Simulasi Premi 1 (Personal)'!$E$38="Menurun",'Spek Produk'!AK78,'Spek Produk'!AK136)</f>
        <v>0</v>
      </c>
      <c r="AL20" s="26">
        <f>IF('Simulasi Premi 1 (Personal)'!$E$38="Menurun",'Spek Produk'!AL78,'Spek Produk'!AL136)</f>
        <v>0</v>
      </c>
      <c r="AM20" s="26">
        <f>IF('Simulasi Premi 1 (Personal)'!$E$38="Menurun",'Spek Produk'!AM78,'Spek Produk'!AM136)</f>
        <v>0</v>
      </c>
      <c r="AN20" s="26">
        <f>IF('Simulasi Premi 1 (Personal)'!$E$38="Menurun",'Spek Produk'!AN78,'Spek Produk'!AN136)</f>
        <v>0</v>
      </c>
      <c r="AO20" s="26">
        <f>IF('Simulasi Premi 1 (Personal)'!$E$38="Menurun",'Spek Produk'!AO78,'Spek Produk'!AO136)</f>
        <v>0</v>
      </c>
      <c r="AP20" s="26">
        <f>IF('Simulasi Premi 1 (Personal)'!$E$38="Menurun",'Spek Produk'!AP78,'Spek Produk'!AP136)</f>
        <v>0</v>
      </c>
      <c r="AR20" s="29" t="s">
        <v>50</v>
      </c>
      <c r="AS20" s="30" t="s">
        <v>55</v>
      </c>
    </row>
    <row r="21" spans="2:45" x14ac:dyDescent="0.35">
      <c r="B21" s="7"/>
      <c r="C21" s="9" t="s">
        <v>89</v>
      </c>
      <c r="D21" s="9"/>
      <c r="E21" s="11" t="s">
        <v>24</v>
      </c>
      <c r="F21" s="139" t="s">
        <v>97</v>
      </c>
      <c r="G21" s="140"/>
      <c r="H21" s="140"/>
      <c r="I21" s="141"/>
      <c r="J21" s="10"/>
      <c r="L21" s="24">
        <f t="shared" si="0"/>
        <v>33</v>
      </c>
      <c r="M21" s="26">
        <f>IF('Simulasi Premi 1 (Personal)'!$E$38="Menurun",'Spek Produk'!M79,'Spek Produk'!M137)</f>
        <v>4.82</v>
      </c>
      <c r="N21" s="26">
        <f>IF('Simulasi Premi 1 (Personal)'!$E$38="Menurun",'Spek Produk'!N79,'Spek Produk'!N137)</f>
        <v>9.92</v>
      </c>
      <c r="O21" s="26">
        <f>IF('Simulasi Premi 1 (Personal)'!$E$38="Menurun",'Spek Produk'!O79,'Spek Produk'!O137)</f>
        <v>15.74</v>
      </c>
      <c r="P21" s="26">
        <f>IF('Simulasi Premi 1 (Personal)'!$E$38="Menurun",'Spek Produk'!P79,'Spek Produk'!P137)</f>
        <v>22.18</v>
      </c>
      <c r="Q21" s="26">
        <f>IF('Simulasi Premi 1 (Personal)'!$E$38="Menurun",'Spek Produk'!Q79,'Spek Produk'!Q137)</f>
        <v>29.15</v>
      </c>
      <c r="R21" s="26">
        <f>IF('Simulasi Premi 1 (Personal)'!$E$38="Menurun",'Spek Produk'!R79,'Spek Produk'!R137)</f>
        <v>36.53</v>
      </c>
      <c r="S21" s="26">
        <f>IF('Simulasi Premi 1 (Personal)'!$E$38="Menurun",'Spek Produk'!S79,'Spek Produk'!S137)</f>
        <v>44.28</v>
      </c>
      <c r="T21" s="26">
        <f>IF('Simulasi Premi 1 (Personal)'!$E$38="Menurun",'Spek Produk'!T79,'Spek Produk'!T137)</f>
        <v>52.32</v>
      </c>
      <c r="U21" s="26">
        <f>IF('Simulasi Premi 1 (Personal)'!$E$38="Menurun",'Spek Produk'!U79,'Spek Produk'!U137)</f>
        <v>60.58</v>
      </c>
      <c r="V21" s="26">
        <f>IF('Simulasi Premi 1 (Personal)'!$E$38="Menurun",'Spek Produk'!V79,'Spek Produk'!V137)</f>
        <v>69</v>
      </c>
      <c r="W21" s="26">
        <f>IF('Simulasi Premi 1 (Personal)'!$E$38="Menurun",'Spek Produk'!W79,'Spek Produk'!W137)</f>
        <v>77.510000000000005</v>
      </c>
      <c r="X21" s="26">
        <f>IF('Simulasi Premi 1 (Personal)'!$E$38="Menurun",'Spek Produk'!X79,'Spek Produk'!X137)</f>
        <v>86.07</v>
      </c>
      <c r="Y21" s="26">
        <f>IF('Simulasi Premi 1 (Personal)'!$E$38="Menurun",'Spek Produk'!Y79,'Spek Produk'!Y137)</f>
        <v>94.6</v>
      </c>
      <c r="Z21" s="26">
        <f>IF('Simulasi Premi 1 (Personal)'!$E$38="Menurun",'Spek Produk'!Z79,'Spek Produk'!Z137)</f>
        <v>103.04</v>
      </c>
      <c r="AA21" s="26">
        <f>IF('Simulasi Premi 1 (Personal)'!$E$38="Menurun",'Spek Produk'!AA79,'Spek Produk'!AA137)</f>
        <v>111.36</v>
      </c>
      <c r="AB21" s="26">
        <f>IF('Simulasi Premi 1 (Personal)'!$E$38="Menurun",'Spek Produk'!AB79,'Spek Produk'!AB137)</f>
        <v>0</v>
      </c>
      <c r="AC21" s="26">
        <f>IF('Simulasi Premi 1 (Personal)'!$E$38="Menurun",'Spek Produk'!AC79,'Spek Produk'!AC137)</f>
        <v>0</v>
      </c>
      <c r="AD21" s="26">
        <f>IF('Simulasi Premi 1 (Personal)'!$E$38="Menurun",'Spek Produk'!AD79,'Spek Produk'!AD137)</f>
        <v>0</v>
      </c>
      <c r="AE21" s="26">
        <f>IF('Simulasi Premi 1 (Personal)'!$E$38="Menurun",'Spek Produk'!AE79,'Spek Produk'!AE137)</f>
        <v>0</v>
      </c>
      <c r="AF21" s="26">
        <f>IF('Simulasi Premi 1 (Personal)'!$E$38="Menurun",'Spek Produk'!AF79,'Spek Produk'!AF137)</f>
        <v>0</v>
      </c>
      <c r="AG21" s="26">
        <f>IF('Simulasi Premi 1 (Personal)'!$E$38="Menurun",'Spek Produk'!AG79,'Spek Produk'!AG137)</f>
        <v>0</v>
      </c>
      <c r="AH21" s="26">
        <f>IF('Simulasi Premi 1 (Personal)'!$E$38="Menurun",'Spek Produk'!AH79,'Spek Produk'!AH137)</f>
        <v>0</v>
      </c>
      <c r="AI21" s="26">
        <f>IF('Simulasi Premi 1 (Personal)'!$E$38="Menurun",'Spek Produk'!AI79,'Spek Produk'!AI137)</f>
        <v>0</v>
      </c>
      <c r="AJ21" s="26">
        <f>IF('Simulasi Premi 1 (Personal)'!$E$38="Menurun",'Spek Produk'!AJ79,'Spek Produk'!AJ137)</f>
        <v>0</v>
      </c>
      <c r="AK21" s="26">
        <f>IF('Simulasi Premi 1 (Personal)'!$E$38="Menurun",'Spek Produk'!AK79,'Spek Produk'!AK137)</f>
        <v>0</v>
      </c>
      <c r="AL21" s="26">
        <f>IF('Simulasi Premi 1 (Personal)'!$E$38="Menurun",'Spek Produk'!AL79,'Spek Produk'!AL137)</f>
        <v>0</v>
      </c>
      <c r="AM21" s="26">
        <f>IF('Simulasi Premi 1 (Personal)'!$E$38="Menurun",'Spek Produk'!AM79,'Spek Produk'!AM137)</f>
        <v>0</v>
      </c>
      <c r="AN21" s="26">
        <f>IF('Simulasi Premi 1 (Personal)'!$E$38="Menurun",'Spek Produk'!AN79,'Spek Produk'!AN137)</f>
        <v>0</v>
      </c>
      <c r="AO21" s="26">
        <f>IF('Simulasi Premi 1 (Personal)'!$E$38="Menurun",'Spek Produk'!AO79,'Spek Produk'!AO137)</f>
        <v>0</v>
      </c>
      <c r="AP21" s="26">
        <f>IF('Simulasi Premi 1 (Personal)'!$E$38="Menurun",'Spek Produk'!AP79,'Spek Produk'!AP137)</f>
        <v>0</v>
      </c>
      <c r="AR21" s="29" t="s">
        <v>51</v>
      </c>
      <c r="AS21" s="30" t="s">
        <v>57</v>
      </c>
    </row>
    <row r="22" spans="2:45" x14ac:dyDescent="0.35">
      <c r="B22" s="7"/>
      <c r="C22" s="12" t="s">
        <v>38</v>
      </c>
      <c r="D22" s="12"/>
      <c r="E22" s="11" t="s">
        <v>24</v>
      </c>
      <c r="F22" s="13" t="s">
        <v>39</v>
      </c>
      <c r="G22" s="14">
        <v>0</v>
      </c>
      <c r="H22" s="13" t="s">
        <v>40</v>
      </c>
      <c r="I22" s="14">
        <v>15</v>
      </c>
      <c r="J22" s="10"/>
      <c r="L22" s="24">
        <f t="shared" si="0"/>
        <v>34</v>
      </c>
      <c r="M22" s="26">
        <f>IF('Simulasi Premi 1 (Personal)'!$E$38="Menurun",'Spek Produk'!M80,'Spek Produk'!M138)</f>
        <v>4.82</v>
      </c>
      <c r="N22" s="26">
        <f>IF('Simulasi Premi 1 (Personal)'!$E$38="Menurun",'Spek Produk'!N80,'Spek Produk'!N138)</f>
        <v>9.92</v>
      </c>
      <c r="O22" s="26">
        <f>IF('Simulasi Premi 1 (Personal)'!$E$38="Menurun",'Spek Produk'!O80,'Spek Produk'!O138)</f>
        <v>15.74</v>
      </c>
      <c r="P22" s="26">
        <f>IF('Simulasi Premi 1 (Personal)'!$E$38="Menurun",'Spek Produk'!P80,'Spek Produk'!P138)</f>
        <v>22.18</v>
      </c>
      <c r="Q22" s="26">
        <f>IF('Simulasi Premi 1 (Personal)'!$E$38="Menurun",'Spek Produk'!Q80,'Spek Produk'!Q138)</f>
        <v>29.15</v>
      </c>
      <c r="R22" s="26">
        <f>IF('Simulasi Premi 1 (Personal)'!$E$38="Menurun",'Spek Produk'!R80,'Spek Produk'!R138)</f>
        <v>36.53</v>
      </c>
      <c r="S22" s="26">
        <f>IF('Simulasi Premi 1 (Personal)'!$E$38="Menurun",'Spek Produk'!S80,'Spek Produk'!S138)</f>
        <v>44.28</v>
      </c>
      <c r="T22" s="26">
        <f>IF('Simulasi Premi 1 (Personal)'!$E$38="Menurun",'Spek Produk'!T80,'Spek Produk'!T138)</f>
        <v>52.32</v>
      </c>
      <c r="U22" s="26">
        <f>IF('Simulasi Premi 1 (Personal)'!$E$38="Menurun",'Spek Produk'!U80,'Spek Produk'!U138)</f>
        <v>60.58</v>
      </c>
      <c r="V22" s="26">
        <f>IF('Simulasi Premi 1 (Personal)'!$E$38="Menurun",'Spek Produk'!V80,'Spek Produk'!V138)</f>
        <v>69</v>
      </c>
      <c r="W22" s="26">
        <f>IF('Simulasi Premi 1 (Personal)'!$E$38="Menurun",'Spek Produk'!W80,'Spek Produk'!W138)</f>
        <v>77.510000000000005</v>
      </c>
      <c r="X22" s="26">
        <f>IF('Simulasi Premi 1 (Personal)'!$E$38="Menurun",'Spek Produk'!X80,'Spek Produk'!X138)</f>
        <v>86.07</v>
      </c>
      <c r="Y22" s="26">
        <f>IF('Simulasi Premi 1 (Personal)'!$E$38="Menurun",'Spek Produk'!Y80,'Spek Produk'!Y138)</f>
        <v>94.6</v>
      </c>
      <c r="Z22" s="26">
        <f>IF('Simulasi Premi 1 (Personal)'!$E$38="Menurun",'Spek Produk'!Z80,'Spek Produk'!Z138)</f>
        <v>103.04</v>
      </c>
      <c r="AA22" s="26">
        <f>IF('Simulasi Premi 1 (Personal)'!$E$38="Menurun",'Spek Produk'!AA80,'Spek Produk'!AA138)</f>
        <v>111.36</v>
      </c>
      <c r="AB22" s="26">
        <f>IF('Simulasi Premi 1 (Personal)'!$E$38="Menurun",'Spek Produk'!AB80,'Spek Produk'!AB138)</f>
        <v>0</v>
      </c>
      <c r="AC22" s="26">
        <f>IF('Simulasi Premi 1 (Personal)'!$E$38="Menurun",'Spek Produk'!AC80,'Spek Produk'!AC138)</f>
        <v>0</v>
      </c>
      <c r="AD22" s="26">
        <f>IF('Simulasi Premi 1 (Personal)'!$E$38="Menurun",'Spek Produk'!AD80,'Spek Produk'!AD138)</f>
        <v>0</v>
      </c>
      <c r="AE22" s="26">
        <f>IF('Simulasi Premi 1 (Personal)'!$E$38="Menurun",'Spek Produk'!AE80,'Spek Produk'!AE138)</f>
        <v>0</v>
      </c>
      <c r="AF22" s="26">
        <f>IF('Simulasi Premi 1 (Personal)'!$E$38="Menurun",'Spek Produk'!AF80,'Spek Produk'!AF138)</f>
        <v>0</v>
      </c>
      <c r="AG22" s="26">
        <f>IF('Simulasi Premi 1 (Personal)'!$E$38="Menurun",'Spek Produk'!AG80,'Spek Produk'!AG138)</f>
        <v>0</v>
      </c>
      <c r="AH22" s="26">
        <f>IF('Simulasi Premi 1 (Personal)'!$E$38="Menurun",'Spek Produk'!AH80,'Spek Produk'!AH138)</f>
        <v>0</v>
      </c>
      <c r="AI22" s="26">
        <f>IF('Simulasi Premi 1 (Personal)'!$E$38="Menurun",'Spek Produk'!AI80,'Spek Produk'!AI138)</f>
        <v>0</v>
      </c>
      <c r="AJ22" s="26">
        <f>IF('Simulasi Premi 1 (Personal)'!$E$38="Menurun",'Spek Produk'!AJ80,'Spek Produk'!AJ138)</f>
        <v>0</v>
      </c>
      <c r="AK22" s="26">
        <f>IF('Simulasi Premi 1 (Personal)'!$E$38="Menurun",'Spek Produk'!AK80,'Spek Produk'!AK138)</f>
        <v>0</v>
      </c>
      <c r="AL22" s="26">
        <f>IF('Simulasi Premi 1 (Personal)'!$E$38="Menurun",'Spek Produk'!AL80,'Spek Produk'!AL138)</f>
        <v>0</v>
      </c>
      <c r="AM22" s="26">
        <f>IF('Simulasi Premi 1 (Personal)'!$E$38="Menurun",'Spek Produk'!AM80,'Spek Produk'!AM138)</f>
        <v>0</v>
      </c>
      <c r="AN22" s="26">
        <f>IF('Simulasi Premi 1 (Personal)'!$E$38="Menurun",'Spek Produk'!AN80,'Spek Produk'!AN138)</f>
        <v>0</v>
      </c>
      <c r="AO22" s="26">
        <f>IF('Simulasi Premi 1 (Personal)'!$E$38="Menurun",'Spek Produk'!AO80,'Spek Produk'!AO138)</f>
        <v>0</v>
      </c>
      <c r="AP22" s="26">
        <f>IF('Simulasi Premi 1 (Personal)'!$E$38="Menurun",'Spek Produk'!AP80,'Spek Produk'!AP138)</f>
        <v>0</v>
      </c>
      <c r="AR22" s="29" t="s">
        <v>47</v>
      </c>
      <c r="AS22" s="30" t="s">
        <v>56</v>
      </c>
    </row>
    <row r="23" spans="2:45" x14ac:dyDescent="0.35">
      <c r="B23" s="7"/>
      <c r="C23" s="12" t="s">
        <v>41</v>
      </c>
      <c r="D23" s="12"/>
      <c r="E23" s="11" t="s">
        <v>24</v>
      </c>
      <c r="F23" s="13" t="s">
        <v>39</v>
      </c>
      <c r="G23" s="14">
        <v>18</v>
      </c>
      <c r="H23" s="13" t="s">
        <v>40</v>
      </c>
      <c r="I23" s="14">
        <v>65</v>
      </c>
      <c r="J23" s="10"/>
      <c r="L23" s="24">
        <f t="shared" si="0"/>
        <v>35</v>
      </c>
      <c r="M23" s="26">
        <f>IF('Simulasi Premi 1 (Personal)'!$E$38="Menurun",'Spek Produk'!M81,'Spek Produk'!M139)</f>
        <v>4.82</v>
      </c>
      <c r="N23" s="26">
        <f>IF('Simulasi Premi 1 (Personal)'!$E$38="Menurun",'Spek Produk'!N81,'Spek Produk'!N139)</f>
        <v>9.92</v>
      </c>
      <c r="O23" s="26">
        <f>IF('Simulasi Premi 1 (Personal)'!$E$38="Menurun",'Spek Produk'!O81,'Spek Produk'!O139)</f>
        <v>15.74</v>
      </c>
      <c r="P23" s="26">
        <f>IF('Simulasi Premi 1 (Personal)'!$E$38="Menurun",'Spek Produk'!P81,'Spek Produk'!P139)</f>
        <v>22.18</v>
      </c>
      <c r="Q23" s="26">
        <f>IF('Simulasi Premi 1 (Personal)'!$E$38="Menurun",'Spek Produk'!Q81,'Spek Produk'!Q139)</f>
        <v>29.15</v>
      </c>
      <c r="R23" s="26">
        <f>IF('Simulasi Premi 1 (Personal)'!$E$38="Menurun",'Spek Produk'!R81,'Spek Produk'!R139)</f>
        <v>36.53</v>
      </c>
      <c r="S23" s="26">
        <f>IF('Simulasi Premi 1 (Personal)'!$E$38="Menurun",'Spek Produk'!S81,'Spek Produk'!S139)</f>
        <v>44.28</v>
      </c>
      <c r="T23" s="26">
        <f>IF('Simulasi Premi 1 (Personal)'!$E$38="Menurun",'Spek Produk'!T81,'Spek Produk'!T139)</f>
        <v>52.32</v>
      </c>
      <c r="U23" s="26">
        <f>IF('Simulasi Premi 1 (Personal)'!$E$38="Menurun",'Spek Produk'!U81,'Spek Produk'!U139)</f>
        <v>60.58</v>
      </c>
      <c r="V23" s="26">
        <f>IF('Simulasi Premi 1 (Personal)'!$E$38="Menurun",'Spek Produk'!V81,'Spek Produk'!V139)</f>
        <v>69</v>
      </c>
      <c r="W23" s="26">
        <f>IF('Simulasi Premi 1 (Personal)'!$E$38="Menurun",'Spek Produk'!W81,'Spek Produk'!W139)</f>
        <v>77.510000000000005</v>
      </c>
      <c r="X23" s="26">
        <f>IF('Simulasi Premi 1 (Personal)'!$E$38="Menurun",'Spek Produk'!X81,'Spek Produk'!X139)</f>
        <v>86.07</v>
      </c>
      <c r="Y23" s="26">
        <f>IF('Simulasi Premi 1 (Personal)'!$E$38="Menurun",'Spek Produk'!Y81,'Spek Produk'!Y139)</f>
        <v>94.6</v>
      </c>
      <c r="Z23" s="26">
        <f>IF('Simulasi Premi 1 (Personal)'!$E$38="Menurun",'Spek Produk'!Z81,'Spek Produk'!Z139)</f>
        <v>103.04</v>
      </c>
      <c r="AA23" s="26">
        <f>IF('Simulasi Premi 1 (Personal)'!$E$38="Menurun",'Spek Produk'!AA81,'Spek Produk'!AA139)</f>
        <v>111.36</v>
      </c>
      <c r="AB23" s="26">
        <f>IF('Simulasi Premi 1 (Personal)'!$E$38="Menurun",'Spek Produk'!AB81,'Spek Produk'!AB139)</f>
        <v>0</v>
      </c>
      <c r="AC23" s="26">
        <f>IF('Simulasi Premi 1 (Personal)'!$E$38="Menurun",'Spek Produk'!AC81,'Spek Produk'!AC139)</f>
        <v>0</v>
      </c>
      <c r="AD23" s="26">
        <f>IF('Simulasi Premi 1 (Personal)'!$E$38="Menurun",'Spek Produk'!AD81,'Spek Produk'!AD139)</f>
        <v>0</v>
      </c>
      <c r="AE23" s="26">
        <f>IF('Simulasi Premi 1 (Personal)'!$E$38="Menurun",'Spek Produk'!AE81,'Spek Produk'!AE139)</f>
        <v>0</v>
      </c>
      <c r="AF23" s="26">
        <f>IF('Simulasi Premi 1 (Personal)'!$E$38="Menurun",'Spek Produk'!AF81,'Spek Produk'!AF139)</f>
        <v>0</v>
      </c>
      <c r="AG23" s="26">
        <f>IF('Simulasi Premi 1 (Personal)'!$E$38="Menurun",'Spek Produk'!AG81,'Spek Produk'!AG139)</f>
        <v>0</v>
      </c>
      <c r="AH23" s="26">
        <f>IF('Simulasi Premi 1 (Personal)'!$E$38="Menurun",'Spek Produk'!AH81,'Spek Produk'!AH139)</f>
        <v>0</v>
      </c>
      <c r="AI23" s="26">
        <f>IF('Simulasi Premi 1 (Personal)'!$E$38="Menurun",'Spek Produk'!AI81,'Spek Produk'!AI139)</f>
        <v>0</v>
      </c>
      <c r="AJ23" s="26">
        <f>IF('Simulasi Premi 1 (Personal)'!$E$38="Menurun",'Spek Produk'!AJ81,'Spek Produk'!AJ139)</f>
        <v>0</v>
      </c>
      <c r="AK23" s="26">
        <f>IF('Simulasi Premi 1 (Personal)'!$E$38="Menurun",'Spek Produk'!AK81,'Spek Produk'!AK139)</f>
        <v>0</v>
      </c>
      <c r="AL23" s="26">
        <f>IF('Simulasi Premi 1 (Personal)'!$E$38="Menurun",'Spek Produk'!AL81,'Spek Produk'!AL139)</f>
        <v>0</v>
      </c>
      <c r="AM23" s="26">
        <f>IF('Simulasi Premi 1 (Personal)'!$E$38="Menurun",'Spek Produk'!AM81,'Spek Produk'!AM139)</f>
        <v>0</v>
      </c>
      <c r="AN23" s="26">
        <f>IF('Simulasi Premi 1 (Personal)'!$E$38="Menurun",'Spek Produk'!AN81,'Spek Produk'!AN139)</f>
        <v>0</v>
      </c>
      <c r="AO23" s="26">
        <f>IF('Simulasi Premi 1 (Personal)'!$E$38="Menurun",'Spek Produk'!AO81,'Spek Produk'!AO139)</f>
        <v>0</v>
      </c>
      <c r="AP23" s="26">
        <f>IF('Simulasi Premi 1 (Personal)'!$E$38="Menurun",'Spek Produk'!AP81,'Spek Produk'!AP139)</f>
        <v>0</v>
      </c>
      <c r="AR23" s="29" t="s">
        <v>52</v>
      </c>
      <c r="AS23" s="30" t="s">
        <v>55</v>
      </c>
    </row>
    <row r="24" spans="2:45" x14ac:dyDescent="0.35">
      <c r="B24" s="7"/>
      <c r="C24" s="12" t="s">
        <v>42</v>
      </c>
      <c r="D24" s="12"/>
      <c r="E24" s="11" t="s">
        <v>24</v>
      </c>
      <c r="F24" s="137" t="s">
        <v>43</v>
      </c>
      <c r="G24" s="138"/>
      <c r="H24" s="15">
        <v>70</v>
      </c>
      <c r="I24" s="16"/>
      <c r="J24" s="17"/>
      <c r="L24" s="24">
        <f t="shared" si="0"/>
        <v>36</v>
      </c>
      <c r="M24" s="26">
        <f>IF('Simulasi Premi 1 (Personal)'!$E$38="Menurun",'Spek Produk'!M82,'Spek Produk'!M140)</f>
        <v>4.82</v>
      </c>
      <c r="N24" s="26">
        <f>IF('Simulasi Premi 1 (Personal)'!$E$38="Menurun",'Spek Produk'!N82,'Spek Produk'!N140)</f>
        <v>9.92</v>
      </c>
      <c r="O24" s="26">
        <f>IF('Simulasi Premi 1 (Personal)'!$E$38="Menurun",'Spek Produk'!O82,'Spek Produk'!O140)</f>
        <v>15.74</v>
      </c>
      <c r="P24" s="26">
        <f>IF('Simulasi Premi 1 (Personal)'!$E$38="Menurun",'Spek Produk'!P82,'Spek Produk'!P140)</f>
        <v>22.18</v>
      </c>
      <c r="Q24" s="26">
        <f>IF('Simulasi Premi 1 (Personal)'!$E$38="Menurun",'Spek Produk'!Q82,'Spek Produk'!Q140)</f>
        <v>29.15</v>
      </c>
      <c r="R24" s="26">
        <f>IF('Simulasi Premi 1 (Personal)'!$E$38="Menurun",'Spek Produk'!R82,'Spek Produk'!R140)</f>
        <v>36.53</v>
      </c>
      <c r="S24" s="26">
        <f>IF('Simulasi Premi 1 (Personal)'!$E$38="Menurun",'Spek Produk'!S82,'Spek Produk'!S140)</f>
        <v>44.28</v>
      </c>
      <c r="T24" s="26">
        <f>IF('Simulasi Premi 1 (Personal)'!$E$38="Menurun",'Spek Produk'!T82,'Spek Produk'!T140)</f>
        <v>52.32</v>
      </c>
      <c r="U24" s="26">
        <f>IF('Simulasi Premi 1 (Personal)'!$E$38="Menurun",'Spek Produk'!U82,'Spek Produk'!U140)</f>
        <v>60.58</v>
      </c>
      <c r="V24" s="26">
        <f>IF('Simulasi Premi 1 (Personal)'!$E$38="Menurun",'Spek Produk'!V82,'Spek Produk'!V140)</f>
        <v>69</v>
      </c>
      <c r="W24" s="26">
        <f>IF('Simulasi Premi 1 (Personal)'!$E$38="Menurun",'Spek Produk'!W82,'Spek Produk'!W140)</f>
        <v>77.510000000000005</v>
      </c>
      <c r="X24" s="26">
        <f>IF('Simulasi Premi 1 (Personal)'!$E$38="Menurun",'Spek Produk'!X82,'Spek Produk'!X140)</f>
        <v>86.07</v>
      </c>
      <c r="Y24" s="26">
        <f>IF('Simulasi Premi 1 (Personal)'!$E$38="Menurun",'Spek Produk'!Y82,'Spek Produk'!Y140)</f>
        <v>94.6</v>
      </c>
      <c r="Z24" s="26">
        <f>IF('Simulasi Premi 1 (Personal)'!$E$38="Menurun",'Spek Produk'!Z82,'Spek Produk'!Z140)</f>
        <v>103.04</v>
      </c>
      <c r="AA24" s="26">
        <f>IF('Simulasi Premi 1 (Personal)'!$E$38="Menurun",'Spek Produk'!AA82,'Spek Produk'!AA140)</f>
        <v>111.36</v>
      </c>
      <c r="AB24" s="26">
        <f>IF('Simulasi Premi 1 (Personal)'!$E$38="Menurun",'Spek Produk'!AB82,'Spek Produk'!AB140)</f>
        <v>0</v>
      </c>
      <c r="AC24" s="26">
        <f>IF('Simulasi Premi 1 (Personal)'!$E$38="Menurun",'Spek Produk'!AC82,'Spek Produk'!AC140)</f>
        <v>0</v>
      </c>
      <c r="AD24" s="26">
        <f>IF('Simulasi Premi 1 (Personal)'!$E$38="Menurun",'Spek Produk'!AD82,'Spek Produk'!AD140)</f>
        <v>0</v>
      </c>
      <c r="AE24" s="26">
        <f>IF('Simulasi Premi 1 (Personal)'!$E$38="Menurun",'Spek Produk'!AE82,'Spek Produk'!AE140)</f>
        <v>0</v>
      </c>
      <c r="AF24" s="26">
        <f>IF('Simulasi Premi 1 (Personal)'!$E$38="Menurun",'Spek Produk'!AF82,'Spek Produk'!AF140)</f>
        <v>0</v>
      </c>
      <c r="AG24" s="26">
        <f>IF('Simulasi Premi 1 (Personal)'!$E$38="Menurun",'Spek Produk'!AG82,'Spek Produk'!AG140)</f>
        <v>0</v>
      </c>
      <c r="AH24" s="26">
        <f>IF('Simulasi Premi 1 (Personal)'!$E$38="Menurun",'Spek Produk'!AH82,'Spek Produk'!AH140)</f>
        <v>0</v>
      </c>
      <c r="AI24" s="26">
        <f>IF('Simulasi Premi 1 (Personal)'!$E$38="Menurun",'Spek Produk'!AI82,'Spek Produk'!AI140)</f>
        <v>0</v>
      </c>
      <c r="AJ24" s="26">
        <f>IF('Simulasi Premi 1 (Personal)'!$E$38="Menurun",'Spek Produk'!AJ82,'Spek Produk'!AJ140)</f>
        <v>0</v>
      </c>
      <c r="AK24" s="26">
        <f>IF('Simulasi Premi 1 (Personal)'!$E$38="Menurun",'Spek Produk'!AK82,'Spek Produk'!AK140)</f>
        <v>0</v>
      </c>
      <c r="AL24" s="26">
        <f>IF('Simulasi Premi 1 (Personal)'!$E$38="Menurun",'Spek Produk'!AL82,'Spek Produk'!AL140)</f>
        <v>0</v>
      </c>
      <c r="AM24" s="26">
        <f>IF('Simulasi Premi 1 (Personal)'!$E$38="Menurun",'Spek Produk'!AM82,'Spek Produk'!AM140)</f>
        <v>0</v>
      </c>
      <c r="AN24" s="26">
        <f>IF('Simulasi Premi 1 (Personal)'!$E$38="Menurun",'Spek Produk'!AN82,'Spek Produk'!AN140)</f>
        <v>0</v>
      </c>
      <c r="AO24" s="26">
        <f>IF('Simulasi Premi 1 (Personal)'!$E$38="Menurun",'Spek Produk'!AO82,'Spek Produk'!AO140)</f>
        <v>0</v>
      </c>
      <c r="AP24" s="26">
        <f>IF('Simulasi Premi 1 (Personal)'!$E$38="Menurun",'Spek Produk'!AP82,'Spek Produk'!AP140)</f>
        <v>0</v>
      </c>
    </row>
    <row r="25" spans="2:45" x14ac:dyDescent="0.35">
      <c r="B25" s="18"/>
      <c r="C25" s="19"/>
      <c r="D25" s="19"/>
      <c r="E25" s="20"/>
      <c r="F25" s="20"/>
      <c r="G25" s="20"/>
      <c r="H25" s="21"/>
      <c r="I25" s="21"/>
      <c r="J25" s="22"/>
      <c r="L25" s="24">
        <f t="shared" si="0"/>
        <v>37</v>
      </c>
      <c r="M25" s="26">
        <f>IF('Simulasi Premi 1 (Personal)'!$E$38="Menurun",'Spek Produk'!M83,'Spek Produk'!M141)</f>
        <v>4.82</v>
      </c>
      <c r="N25" s="26">
        <f>IF('Simulasi Premi 1 (Personal)'!$E$38="Menurun",'Spek Produk'!N83,'Spek Produk'!N141)</f>
        <v>9.92</v>
      </c>
      <c r="O25" s="26">
        <f>IF('Simulasi Premi 1 (Personal)'!$E$38="Menurun",'Spek Produk'!O83,'Spek Produk'!O141)</f>
        <v>15.74</v>
      </c>
      <c r="P25" s="26">
        <f>IF('Simulasi Premi 1 (Personal)'!$E$38="Menurun",'Spek Produk'!P83,'Spek Produk'!P141)</f>
        <v>22.18</v>
      </c>
      <c r="Q25" s="26">
        <f>IF('Simulasi Premi 1 (Personal)'!$E$38="Menurun",'Spek Produk'!Q83,'Spek Produk'!Q141)</f>
        <v>29.15</v>
      </c>
      <c r="R25" s="26">
        <f>IF('Simulasi Premi 1 (Personal)'!$E$38="Menurun",'Spek Produk'!R83,'Spek Produk'!R141)</f>
        <v>36.53</v>
      </c>
      <c r="S25" s="26">
        <f>IF('Simulasi Premi 1 (Personal)'!$E$38="Menurun",'Spek Produk'!S83,'Spek Produk'!S141)</f>
        <v>44.28</v>
      </c>
      <c r="T25" s="26">
        <f>IF('Simulasi Premi 1 (Personal)'!$E$38="Menurun",'Spek Produk'!T83,'Spek Produk'!T141)</f>
        <v>52.32</v>
      </c>
      <c r="U25" s="26">
        <f>IF('Simulasi Premi 1 (Personal)'!$E$38="Menurun",'Spek Produk'!U83,'Spek Produk'!U141)</f>
        <v>60.58</v>
      </c>
      <c r="V25" s="26">
        <f>IF('Simulasi Premi 1 (Personal)'!$E$38="Menurun",'Spek Produk'!V83,'Spek Produk'!V141)</f>
        <v>69</v>
      </c>
      <c r="W25" s="26">
        <f>IF('Simulasi Premi 1 (Personal)'!$E$38="Menurun",'Spek Produk'!W83,'Spek Produk'!W141)</f>
        <v>77.510000000000005</v>
      </c>
      <c r="X25" s="26">
        <f>IF('Simulasi Premi 1 (Personal)'!$E$38="Menurun",'Spek Produk'!X83,'Spek Produk'!X141)</f>
        <v>86.07</v>
      </c>
      <c r="Y25" s="26">
        <f>IF('Simulasi Premi 1 (Personal)'!$E$38="Menurun",'Spek Produk'!Y83,'Spek Produk'!Y141)</f>
        <v>94.6</v>
      </c>
      <c r="Z25" s="26">
        <f>IF('Simulasi Premi 1 (Personal)'!$E$38="Menurun",'Spek Produk'!Z83,'Spek Produk'!Z141)</f>
        <v>103.04</v>
      </c>
      <c r="AA25" s="26">
        <f>IF('Simulasi Premi 1 (Personal)'!$E$38="Menurun",'Spek Produk'!AA83,'Spek Produk'!AA141)</f>
        <v>111.36</v>
      </c>
      <c r="AB25" s="26">
        <f>IF('Simulasi Premi 1 (Personal)'!$E$38="Menurun",'Spek Produk'!AB83,'Spek Produk'!AB141)</f>
        <v>0</v>
      </c>
      <c r="AC25" s="26">
        <f>IF('Simulasi Premi 1 (Personal)'!$E$38="Menurun",'Spek Produk'!AC83,'Spek Produk'!AC141)</f>
        <v>0</v>
      </c>
      <c r="AD25" s="26">
        <f>IF('Simulasi Premi 1 (Personal)'!$E$38="Menurun",'Spek Produk'!AD83,'Spek Produk'!AD141)</f>
        <v>0</v>
      </c>
      <c r="AE25" s="26">
        <f>IF('Simulasi Premi 1 (Personal)'!$E$38="Menurun",'Spek Produk'!AE83,'Spek Produk'!AE141)</f>
        <v>0</v>
      </c>
      <c r="AF25" s="26">
        <f>IF('Simulasi Premi 1 (Personal)'!$E$38="Menurun",'Spek Produk'!AF83,'Spek Produk'!AF141)</f>
        <v>0</v>
      </c>
      <c r="AG25" s="26">
        <f>IF('Simulasi Premi 1 (Personal)'!$E$38="Menurun",'Spek Produk'!AG83,'Spek Produk'!AG141)</f>
        <v>0</v>
      </c>
      <c r="AH25" s="26">
        <f>IF('Simulasi Premi 1 (Personal)'!$E$38="Menurun",'Spek Produk'!AH83,'Spek Produk'!AH141)</f>
        <v>0</v>
      </c>
      <c r="AI25" s="26">
        <f>IF('Simulasi Premi 1 (Personal)'!$E$38="Menurun",'Spek Produk'!AI83,'Spek Produk'!AI141)</f>
        <v>0</v>
      </c>
      <c r="AJ25" s="26">
        <f>IF('Simulasi Premi 1 (Personal)'!$E$38="Menurun",'Spek Produk'!AJ83,'Spek Produk'!AJ141)</f>
        <v>0</v>
      </c>
      <c r="AK25" s="26">
        <f>IF('Simulasi Premi 1 (Personal)'!$E$38="Menurun",'Spek Produk'!AK83,'Spek Produk'!AK141)</f>
        <v>0</v>
      </c>
      <c r="AL25" s="26">
        <f>IF('Simulasi Premi 1 (Personal)'!$E$38="Menurun",'Spek Produk'!AL83,'Spek Produk'!AL141)</f>
        <v>0</v>
      </c>
      <c r="AM25" s="26">
        <f>IF('Simulasi Premi 1 (Personal)'!$E$38="Menurun",'Spek Produk'!AM83,'Spek Produk'!AM141)</f>
        <v>0</v>
      </c>
      <c r="AN25" s="26">
        <f>IF('Simulasi Premi 1 (Personal)'!$E$38="Menurun",'Spek Produk'!AN83,'Spek Produk'!AN141)</f>
        <v>0</v>
      </c>
      <c r="AO25" s="26">
        <f>IF('Simulasi Premi 1 (Personal)'!$E$38="Menurun",'Spek Produk'!AO83,'Spek Produk'!AO141)</f>
        <v>0</v>
      </c>
      <c r="AP25" s="26">
        <f>IF('Simulasi Premi 1 (Personal)'!$E$38="Menurun",'Spek Produk'!AP83,'Spek Produk'!AP141)</f>
        <v>0</v>
      </c>
      <c r="AR25">
        <v>0</v>
      </c>
    </row>
    <row r="26" spans="2:45" x14ac:dyDescent="0.35">
      <c r="L26" s="24">
        <f t="shared" si="0"/>
        <v>38</v>
      </c>
      <c r="M26" s="26">
        <f>IF('Simulasi Premi 1 (Personal)'!$E$38="Menurun",'Spek Produk'!M84,'Spek Produk'!M142)</f>
        <v>4.82</v>
      </c>
      <c r="N26" s="26">
        <f>IF('Simulasi Premi 1 (Personal)'!$E$38="Menurun",'Spek Produk'!N84,'Spek Produk'!N142)</f>
        <v>9.92</v>
      </c>
      <c r="O26" s="26">
        <f>IF('Simulasi Premi 1 (Personal)'!$E$38="Menurun",'Spek Produk'!O84,'Spek Produk'!O142)</f>
        <v>15.74</v>
      </c>
      <c r="P26" s="26">
        <f>IF('Simulasi Premi 1 (Personal)'!$E$38="Menurun",'Spek Produk'!P84,'Spek Produk'!P142)</f>
        <v>22.18</v>
      </c>
      <c r="Q26" s="26">
        <f>IF('Simulasi Premi 1 (Personal)'!$E$38="Menurun",'Spek Produk'!Q84,'Spek Produk'!Q142)</f>
        <v>29.15</v>
      </c>
      <c r="R26" s="26">
        <f>IF('Simulasi Premi 1 (Personal)'!$E$38="Menurun",'Spek Produk'!R84,'Spek Produk'!R142)</f>
        <v>36.53</v>
      </c>
      <c r="S26" s="26">
        <f>IF('Simulasi Premi 1 (Personal)'!$E$38="Menurun",'Spek Produk'!S84,'Spek Produk'!S142)</f>
        <v>44.28</v>
      </c>
      <c r="T26" s="26">
        <f>IF('Simulasi Premi 1 (Personal)'!$E$38="Menurun",'Spek Produk'!T84,'Spek Produk'!T142)</f>
        <v>52.32</v>
      </c>
      <c r="U26" s="26">
        <f>IF('Simulasi Premi 1 (Personal)'!$E$38="Menurun",'Spek Produk'!U84,'Spek Produk'!U142)</f>
        <v>60.58</v>
      </c>
      <c r="V26" s="26">
        <f>IF('Simulasi Premi 1 (Personal)'!$E$38="Menurun",'Spek Produk'!V84,'Spek Produk'!V142)</f>
        <v>69</v>
      </c>
      <c r="W26" s="26">
        <f>IF('Simulasi Premi 1 (Personal)'!$E$38="Menurun",'Spek Produk'!W84,'Spek Produk'!W142)</f>
        <v>77.510000000000005</v>
      </c>
      <c r="X26" s="26">
        <f>IF('Simulasi Premi 1 (Personal)'!$E$38="Menurun",'Spek Produk'!X84,'Spek Produk'!X142)</f>
        <v>86.07</v>
      </c>
      <c r="Y26" s="26">
        <f>IF('Simulasi Premi 1 (Personal)'!$E$38="Menurun",'Spek Produk'!Y84,'Spek Produk'!Y142)</f>
        <v>94.6</v>
      </c>
      <c r="Z26" s="26">
        <f>IF('Simulasi Premi 1 (Personal)'!$E$38="Menurun",'Spek Produk'!Z84,'Spek Produk'!Z142)</f>
        <v>103.04</v>
      </c>
      <c r="AA26" s="26">
        <f>IF('Simulasi Premi 1 (Personal)'!$E$38="Menurun",'Spek Produk'!AA84,'Spek Produk'!AA142)</f>
        <v>111.36</v>
      </c>
      <c r="AB26" s="26">
        <f>IF('Simulasi Premi 1 (Personal)'!$E$38="Menurun",'Spek Produk'!AB84,'Spek Produk'!AB142)</f>
        <v>0</v>
      </c>
      <c r="AC26" s="26">
        <f>IF('Simulasi Premi 1 (Personal)'!$E$38="Menurun",'Spek Produk'!AC84,'Spek Produk'!AC142)</f>
        <v>0</v>
      </c>
      <c r="AD26" s="26">
        <f>IF('Simulasi Premi 1 (Personal)'!$E$38="Menurun",'Spek Produk'!AD84,'Spek Produk'!AD142)</f>
        <v>0</v>
      </c>
      <c r="AE26" s="26">
        <f>IF('Simulasi Premi 1 (Personal)'!$E$38="Menurun",'Spek Produk'!AE84,'Spek Produk'!AE142)</f>
        <v>0</v>
      </c>
      <c r="AF26" s="26">
        <f>IF('Simulasi Premi 1 (Personal)'!$E$38="Menurun",'Spek Produk'!AF84,'Spek Produk'!AF142)</f>
        <v>0</v>
      </c>
      <c r="AG26" s="26">
        <f>IF('Simulasi Premi 1 (Personal)'!$E$38="Menurun",'Spek Produk'!AG84,'Spek Produk'!AG142)</f>
        <v>0</v>
      </c>
      <c r="AH26" s="26">
        <f>IF('Simulasi Premi 1 (Personal)'!$E$38="Menurun",'Spek Produk'!AH84,'Spek Produk'!AH142)</f>
        <v>0</v>
      </c>
      <c r="AI26" s="26">
        <f>IF('Simulasi Premi 1 (Personal)'!$E$38="Menurun",'Spek Produk'!AI84,'Spek Produk'!AI142)</f>
        <v>0</v>
      </c>
      <c r="AJ26" s="26">
        <f>IF('Simulasi Premi 1 (Personal)'!$E$38="Menurun",'Spek Produk'!AJ84,'Spek Produk'!AJ142)</f>
        <v>0</v>
      </c>
      <c r="AK26" s="26">
        <f>IF('Simulasi Premi 1 (Personal)'!$E$38="Menurun",'Spek Produk'!AK84,'Spek Produk'!AK142)</f>
        <v>0</v>
      </c>
      <c r="AL26" s="26">
        <f>IF('Simulasi Premi 1 (Personal)'!$E$38="Menurun",'Spek Produk'!AL84,'Spek Produk'!AL142)</f>
        <v>0</v>
      </c>
      <c r="AM26" s="26">
        <f>IF('Simulasi Premi 1 (Personal)'!$E$38="Menurun",'Spek Produk'!AM84,'Spek Produk'!AM142)</f>
        <v>0</v>
      </c>
      <c r="AN26" s="26">
        <f>IF('Simulasi Premi 1 (Personal)'!$E$38="Menurun",'Spek Produk'!AN84,'Spek Produk'!AN142)</f>
        <v>0</v>
      </c>
      <c r="AO26" s="26">
        <f>IF('Simulasi Premi 1 (Personal)'!$E$38="Menurun",'Spek Produk'!AO84,'Spek Produk'!AO142)</f>
        <v>0</v>
      </c>
      <c r="AP26" s="26">
        <f>IF('Simulasi Premi 1 (Personal)'!$E$38="Menurun",'Spek Produk'!AP84,'Spek Produk'!AP142)</f>
        <v>0</v>
      </c>
      <c r="AR26">
        <v>1</v>
      </c>
    </row>
    <row r="27" spans="2:45" x14ac:dyDescent="0.35">
      <c r="B27" s="4"/>
      <c r="C27" s="5"/>
      <c r="D27" s="5"/>
      <c r="E27" s="5"/>
      <c r="F27" s="5"/>
      <c r="G27" s="5"/>
      <c r="H27" s="5"/>
      <c r="I27" s="5"/>
      <c r="J27" s="6"/>
      <c r="L27" s="24">
        <f t="shared" si="0"/>
        <v>39</v>
      </c>
      <c r="M27" s="26">
        <f>IF('Simulasi Premi 1 (Personal)'!$E$38="Menurun",'Spek Produk'!M85,'Spek Produk'!M143)</f>
        <v>4.82</v>
      </c>
      <c r="N27" s="26">
        <f>IF('Simulasi Premi 1 (Personal)'!$E$38="Menurun",'Spek Produk'!N85,'Spek Produk'!N143)</f>
        <v>9.92</v>
      </c>
      <c r="O27" s="26">
        <f>IF('Simulasi Premi 1 (Personal)'!$E$38="Menurun",'Spek Produk'!O85,'Spek Produk'!O143)</f>
        <v>15.74</v>
      </c>
      <c r="P27" s="26">
        <f>IF('Simulasi Premi 1 (Personal)'!$E$38="Menurun",'Spek Produk'!P85,'Spek Produk'!P143)</f>
        <v>22.18</v>
      </c>
      <c r="Q27" s="26">
        <f>IF('Simulasi Premi 1 (Personal)'!$E$38="Menurun",'Spek Produk'!Q85,'Spek Produk'!Q143)</f>
        <v>29.15</v>
      </c>
      <c r="R27" s="26">
        <f>IF('Simulasi Premi 1 (Personal)'!$E$38="Menurun",'Spek Produk'!R85,'Spek Produk'!R143)</f>
        <v>36.53</v>
      </c>
      <c r="S27" s="26">
        <f>IF('Simulasi Premi 1 (Personal)'!$E$38="Menurun",'Spek Produk'!S85,'Spek Produk'!S143)</f>
        <v>44.28</v>
      </c>
      <c r="T27" s="26">
        <f>IF('Simulasi Premi 1 (Personal)'!$E$38="Menurun",'Spek Produk'!T85,'Spek Produk'!T143)</f>
        <v>52.32</v>
      </c>
      <c r="U27" s="26">
        <f>IF('Simulasi Premi 1 (Personal)'!$E$38="Menurun",'Spek Produk'!U85,'Spek Produk'!U143)</f>
        <v>60.58</v>
      </c>
      <c r="V27" s="26">
        <f>IF('Simulasi Premi 1 (Personal)'!$E$38="Menurun",'Spek Produk'!V85,'Spek Produk'!V143)</f>
        <v>69</v>
      </c>
      <c r="W27" s="26">
        <f>IF('Simulasi Premi 1 (Personal)'!$E$38="Menurun",'Spek Produk'!W85,'Spek Produk'!W143)</f>
        <v>77.510000000000005</v>
      </c>
      <c r="X27" s="26">
        <f>IF('Simulasi Premi 1 (Personal)'!$E$38="Menurun",'Spek Produk'!X85,'Spek Produk'!X143)</f>
        <v>86.07</v>
      </c>
      <c r="Y27" s="26">
        <f>IF('Simulasi Premi 1 (Personal)'!$E$38="Menurun",'Spek Produk'!Y85,'Spek Produk'!Y143)</f>
        <v>94.6</v>
      </c>
      <c r="Z27" s="26">
        <f>IF('Simulasi Premi 1 (Personal)'!$E$38="Menurun",'Spek Produk'!Z85,'Spek Produk'!Z143)</f>
        <v>103.04</v>
      </c>
      <c r="AA27" s="26">
        <f>IF('Simulasi Premi 1 (Personal)'!$E$38="Menurun",'Spek Produk'!AA85,'Spek Produk'!AA143)</f>
        <v>111.36</v>
      </c>
      <c r="AB27" s="26">
        <f>IF('Simulasi Premi 1 (Personal)'!$E$38="Menurun",'Spek Produk'!AB85,'Spek Produk'!AB143)</f>
        <v>0</v>
      </c>
      <c r="AC27" s="26">
        <f>IF('Simulasi Premi 1 (Personal)'!$E$38="Menurun",'Spek Produk'!AC85,'Spek Produk'!AC143)</f>
        <v>0</v>
      </c>
      <c r="AD27" s="26">
        <f>IF('Simulasi Premi 1 (Personal)'!$E$38="Menurun",'Spek Produk'!AD85,'Spek Produk'!AD143)</f>
        <v>0</v>
      </c>
      <c r="AE27" s="26">
        <f>IF('Simulasi Premi 1 (Personal)'!$E$38="Menurun",'Spek Produk'!AE85,'Spek Produk'!AE143)</f>
        <v>0</v>
      </c>
      <c r="AF27" s="26">
        <f>IF('Simulasi Premi 1 (Personal)'!$E$38="Menurun",'Spek Produk'!AF85,'Spek Produk'!AF143)</f>
        <v>0</v>
      </c>
      <c r="AG27" s="26">
        <f>IF('Simulasi Premi 1 (Personal)'!$E$38="Menurun",'Spek Produk'!AG85,'Spek Produk'!AG143)</f>
        <v>0</v>
      </c>
      <c r="AH27" s="26">
        <f>IF('Simulasi Premi 1 (Personal)'!$E$38="Menurun",'Spek Produk'!AH85,'Spek Produk'!AH143)</f>
        <v>0</v>
      </c>
      <c r="AI27" s="26">
        <f>IF('Simulasi Premi 1 (Personal)'!$E$38="Menurun",'Spek Produk'!AI85,'Spek Produk'!AI143)</f>
        <v>0</v>
      </c>
      <c r="AJ27" s="26">
        <f>IF('Simulasi Premi 1 (Personal)'!$E$38="Menurun",'Spek Produk'!AJ85,'Spek Produk'!AJ143)</f>
        <v>0</v>
      </c>
      <c r="AK27" s="26">
        <f>IF('Simulasi Premi 1 (Personal)'!$E$38="Menurun",'Spek Produk'!AK85,'Spek Produk'!AK143)</f>
        <v>0</v>
      </c>
      <c r="AL27" s="26">
        <f>IF('Simulasi Premi 1 (Personal)'!$E$38="Menurun",'Spek Produk'!AL85,'Spek Produk'!AL143)</f>
        <v>0</v>
      </c>
      <c r="AM27" s="26">
        <f>IF('Simulasi Premi 1 (Personal)'!$E$38="Menurun",'Spek Produk'!AM85,'Spek Produk'!AM143)</f>
        <v>0</v>
      </c>
      <c r="AN27" s="26">
        <f>IF('Simulasi Premi 1 (Personal)'!$E$38="Menurun",'Spek Produk'!AN85,'Spek Produk'!AN143)</f>
        <v>0</v>
      </c>
      <c r="AO27" s="26">
        <f>IF('Simulasi Premi 1 (Personal)'!$E$38="Menurun",'Spek Produk'!AO85,'Spek Produk'!AO143)</f>
        <v>0</v>
      </c>
      <c r="AP27" s="26">
        <f>IF('Simulasi Premi 1 (Personal)'!$E$38="Menurun",'Spek Produk'!AP85,'Spek Produk'!AP143)</f>
        <v>0</v>
      </c>
      <c r="AR27">
        <v>2</v>
      </c>
    </row>
    <row r="28" spans="2:45" x14ac:dyDescent="0.35">
      <c r="B28" s="7"/>
      <c r="C28" s="8" t="s">
        <v>92</v>
      </c>
      <c r="D28" s="9"/>
      <c r="E28" s="9"/>
      <c r="F28" s="9"/>
      <c r="G28" s="9"/>
      <c r="H28" s="9"/>
      <c r="I28" s="9"/>
      <c r="J28" s="10"/>
      <c r="L28" s="24">
        <f t="shared" si="0"/>
        <v>40</v>
      </c>
      <c r="M28" s="26">
        <f>IF('Simulasi Premi 1 (Personal)'!$E$38="Menurun",'Spek Produk'!M86,'Spek Produk'!M144)</f>
        <v>4.82</v>
      </c>
      <c r="N28" s="26">
        <f>IF('Simulasi Premi 1 (Personal)'!$E$38="Menurun",'Spek Produk'!N86,'Spek Produk'!N144)</f>
        <v>9.92</v>
      </c>
      <c r="O28" s="26">
        <f>IF('Simulasi Premi 1 (Personal)'!$E$38="Menurun",'Spek Produk'!O86,'Spek Produk'!O144)</f>
        <v>15.74</v>
      </c>
      <c r="P28" s="26">
        <f>IF('Simulasi Premi 1 (Personal)'!$E$38="Menurun",'Spek Produk'!P86,'Spek Produk'!P144)</f>
        <v>22.18</v>
      </c>
      <c r="Q28" s="26">
        <f>IF('Simulasi Premi 1 (Personal)'!$E$38="Menurun",'Spek Produk'!Q86,'Spek Produk'!Q144)</f>
        <v>29.15</v>
      </c>
      <c r="R28" s="26">
        <f>IF('Simulasi Premi 1 (Personal)'!$E$38="Menurun",'Spek Produk'!R86,'Spek Produk'!R144)</f>
        <v>36.53</v>
      </c>
      <c r="S28" s="26">
        <f>IF('Simulasi Premi 1 (Personal)'!$E$38="Menurun",'Spek Produk'!S86,'Spek Produk'!S144)</f>
        <v>44.28</v>
      </c>
      <c r="T28" s="26">
        <f>IF('Simulasi Premi 1 (Personal)'!$E$38="Menurun",'Spek Produk'!T86,'Spek Produk'!T144)</f>
        <v>52.32</v>
      </c>
      <c r="U28" s="26">
        <f>IF('Simulasi Premi 1 (Personal)'!$E$38="Menurun",'Spek Produk'!U86,'Spek Produk'!U144)</f>
        <v>60.58</v>
      </c>
      <c r="V28" s="26">
        <f>IF('Simulasi Premi 1 (Personal)'!$E$38="Menurun",'Spek Produk'!V86,'Spek Produk'!V144)</f>
        <v>69</v>
      </c>
      <c r="W28" s="26">
        <f>IF('Simulasi Premi 1 (Personal)'!$E$38="Menurun",'Spek Produk'!W86,'Spek Produk'!W144)</f>
        <v>77.510000000000005</v>
      </c>
      <c r="X28" s="26">
        <f>IF('Simulasi Premi 1 (Personal)'!$E$38="Menurun",'Spek Produk'!X86,'Spek Produk'!X144)</f>
        <v>86.07</v>
      </c>
      <c r="Y28" s="26">
        <f>IF('Simulasi Premi 1 (Personal)'!$E$38="Menurun",'Spek Produk'!Y86,'Spek Produk'!Y144)</f>
        <v>94.6</v>
      </c>
      <c r="Z28" s="26">
        <f>IF('Simulasi Premi 1 (Personal)'!$E$38="Menurun",'Spek Produk'!Z86,'Spek Produk'!Z144)</f>
        <v>103.04</v>
      </c>
      <c r="AA28" s="26">
        <f>IF('Simulasi Premi 1 (Personal)'!$E$38="Menurun",'Spek Produk'!AA86,'Spek Produk'!AA144)</f>
        <v>111.36</v>
      </c>
      <c r="AB28" s="26">
        <f>IF('Simulasi Premi 1 (Personal)'!$E$38="Menurun",'Spek Produk'!AB86,'Spek Produk'!AB144)</f>
        <v>0</v>
      </c>
      <c r="AC28" s="26">
        <f>IF('Simulasi Premi 1 (Personal)'!$E$38="Menurun",'Spek Produk'!AC86,'Spek Produk'!AC144)</f>
        <v>0</v>
      </c>
      <c r="AD28" s="26">
        <f>IF('Simulasi Premi 1 (Personal)'!$E$38="Menurun",'Spek Produk'!AD86,'Spek Produk'!AD144)</f>
        <v>0</v>
      </c>
      <c r="AE28" s="26">
        <f>IF('Simulasi Premi 1 (Personal)'!$E$38="Menurun",'Spek Produk'!AE86,'Spek Produk'!AE144)</f>
        <v>0</v>
      </c>
      <c r="AF28" s="26">
        <f>IF('Simulasi Premi 1 (Personal)'!$E$38="Menurun",'Spek Produk'!AF86,'Spek Produk'!AF144)</f>
        <v>0</v>
      </c>
      <c r="AG28" s="26">
        <f>IF('Simulasi Premi 1 (Personal)'!$E$38="Menurun",'Spek Produk'!AG86,'Spek Produk'!AG144)</f>
        <v>0</v>
      </c>
      <c r="AH28" s="26">
        <f>IF('Simulasi Premi 1 (Personal)'!$E$38="Menurun",'Spek Produk'!AH86,'Spek Produk'!AH144)</f>
        <v>0</v>
      </c>
      <c r="AI28" s="26">
        <f>IF('Simulasi Premi 1 (Personal)'!$E$38="Menurun",'Spek Produk'!AI86,'Spek Produk'!AI144)</f>
        <v>0</v>
      </c>
      <c r="AJ28" s="26">
        <f>IF('Simulasi Premi 1 (Personal)'!$E$38="Menurun",'Spek Produk'!AJ86,'Spek Produk'!AJ144)</f>
        <v>0</v>
      </c>
      <c r="AK28" s="26">
        <f>IF('Simulasi Premi 1 (Personal)'!$E$38="Menurun",'Spek Produk'!AK86,'Spek Produk'!AK144)</f>
        <v>0</v>
      </c>
      <c r="AL28" s="26">
        <f>IF('Simulasi Premi 1 (Personal)'!$E$38="Menurun",'Spek Produk'!AL86,'Spek Produk'!AL144)</f>
        <v>0</v>
      </c>
      <c r="AM28" s="26">
        <f>IF('Simulasi Premi 1 (Personal)'!$E$38="Menurun",'Spek Produk'!AM86,'Spek Produk'!AM144)</f>
        <v>0</v>
      </c>
      <c r="AN28" s="26">
        <f>IF('Simulasi Premi 1 (Personal)'!$E$38="Menurun",'Spek Produk'!AN86,'Spek Produk'!AN144)</f>
        <v>0</v>
      </c>
      <c r="AO28" s="26">
        <f>IF('Simulasi Premi 1 (Personal)'!$E$38="Menurun",'Spek Produk'!AO86,'Spek Produk'!AO144)</f>
        <v>0</v>
      </c>
      <c r="AP28" s="26">
        <f>IF('Simulasi Premi 1 (Personal)'!$E$38="Menurun",'Spek Produk'!AP86,'Spek Produk'!AP144)</f>
        <v>0</v>
      </c>
      <c r="AR28">
        <v>3</v>
      </c>
    </row>
    <row r="29" spans="2:45" x14ac:dyDescent="0.35">
      <c r="B29" s="7"/>
      <c r="C29" s="8"/>
      <c r="D29" s="9"/>
      <c r="E29" s="9"/>
      <c r="F29" s="9"/>
      <c r="G29" s="9"/>
      <c r="H29" s="9"/>
      <c r="I29" s="9"/>
      <c r="J29" s="10"/>
      <c r="L29" s="24">
        <f t="shared" si="0"/>
        <v>41</v>
      </c>
      <c r="M29" s="26">
        <f>IF('Simulasi Premi 1 (Personal)'!$E$38="Menurun",'Spek Produk'!M87,'Spek Produk'!M145)</f>
        <v>4.82</v>
      </c>
      <c r="N29" s="26">
        <f>IF('Simulasi Premi 1 (Personal)'!$E$38="Menurun",'Spek Produk'!N87,'Spek Produk'!N145)</f>
        <v>9.92</v>
      </c>
      <c r="O29" s="26">
        <f>IF('Simulasi Premi 1 (Personal)'!$E$38="Menurun",'Spek Produk'!O87,'Spek Produk'!O145)</f>
        <v>15.74</v>
      </c>
      <c r="P29" s="26">
        <f>IF('Simulasi Premi 1 (Personal)'!$E$38="Menurun",'Spek Produk'!P87,'Spek Produk'!P145)</f>
        <v>22.18</v>
      </c>
      <c r="Q29" s="26">
        <f>IF('Simulasi Premi 1 (Personal)'!$E$38="Menurun",'Spek Produk'!Q87,'Spek Produk'!Q145)</f>
        <v>29.15</v>
      </c>
      <c r="R29" s="26">
        <f>IF('Simulasi Premi 1 (Personal)'!$E$38="Menurun",'Spek Produk'!R87,'Spek Produk'!R145)</f>
        <v>36.53</v>
      </c>
      <c r="S29" s="26">
        <f>IF('Simulasi Premi 1 (Personal)'!$E$38="Menurun",'Spek Produk'!S87,'Spek Produk'!S145)</f>
        <v>44.28</v>
      </c>
      <c r="T29" s="26">
        <f>IF('Simulasi Premi 1 (Personal)'!$E$38="Menurun",'Spek Produk'!T87,'Spek Produk'!T145)</f>
        <v>52.32</v>
      </c>
      <c r="U29" s="26">
        <f>IF('Simulasi Premi 1 (Personal)'!$E$38="Menurun",'Spek Produk'!U87,'Spek Produk'!U145)</f>
        <v>60.58</v>
      </c>
      <c r="V29" s="26">
        <f>IF('Simulasi Premi 1 (Personal)'!$E$38="Menurun",'Spek Produk'!V87,'Spek Produk'!V145)</f>
        <v>69</v>
      </c>
      <c r="W29" s="26">
        <f>IF('Simulasi Premi 1 (Personal)'!$E$38="Menurun",'Spek Produk'!W87,'Spek Produk'!W145)</f>
        <v>77.510000000000005</v>
      </c>
      <c r="X29" s="26">
        <f>IF('Simulasi Premi 1 (Personal)'!$E$38="Menurun",'Spek Produk'!X87,'Spek Produk'!X145)</f>
        <v>86.07</v>
      </c>
      <c r="Y29" s="26">
        <f>IF('Simulasi Premi 1 (Personal)'!$E$38="Menurun",'Spek Produk'!Y87,'Spek Produk'!Y145)</f>
        <v>94.6</v>
      </c>
      <c r="Z29" s="26">
        <f>IF('Simulasi Premi 1 (Personal)'!$E$38="Menurun",'Spek Produk'!Z87,'Spek Produk'!Z145)</f>
        <v>103.04</v>
      </c>
      <c r="AA29" s="26">
        <f>IF('Simulasi Premi 1 (Personal)'!$E$38="Menurun",'Spek Produk'!AA87,'Spek Produk'!AA145)</f>
        <v>111.36</v>
      </c>
      <c r="AB29" s="26">
        <f>IF('Simulasi Premi 1 (Personal)'!$E$38="Menurun",'Spek Produk'!AB87,'Spek Produk'!AB145)</f>
        <v>0</v>
      </c>
      <c r="AC29" s="26">
        <f>IF('Simulasi Premi 1 (Personal)'!$E$38="Menurun",'Spek Produk'!AC87,'Spek Produk'!AC145)</f>
        <v>0</v>
      </c>
      <c r="AD29" s="26">
        <f>IF('Simulasi Premi 1 (Personal)'!$E$38="Menurun",'Spek Produk'!AD87,'Spek Produk'!AD145)</f>
        <v>0</v>
      </c>
      <c r="AE29" s="26">
        <f>IF('Simulasi Premi 1 (Personal)'!$E$38="Menurun",'Spek Produk'!AE87,'Spek Produk'!AE145)</f>
        <v>0</v>
      </c>
      <c r="AF29" s="26">
        <f>IF('Simulasi Premi 1 (Personal)'!$E$38="Menurun",'Spek Produk'!AF87,'Spek Produk'!AF145)</f>
        <v>0</v>
      </c>
      <c r="AG29" s="26">
        <f>IF('Simulasi Premi 1 (Personal)'!$E$38="Menurun",'Spek Produk'!AG87,'Spek Produk'!AG145)</f>
        <v>0</v>
      </c>
      <c r="AH29" s="26">
        <f>IF('Simulasi Premi 1 (Personal)'!$E$38="Menurun",'Spek Produk'!AH87,'Spek Produk'!AH145)</f>
        <v>0</v>
      </c>
      <c r="AI29" s="26">
        <f>IF('Simulasi Premi 1 (Personal)'!$E$38="Menurun",'Spek Produk'!AI87,'Spek Produk'!AI145)</f>
        <v>0</v>
      </c>
      <c r="AJ29" s="26">
        <f>IF('Simulasi Premi 1 (Personal)'!$E$38="Menurun",'Spek Produk'!AJ87,'Spek Produk'!AJ145)</f>
        <v>0</v>
      </c>
      <c r="AK29" s="26">
        <f>IF('Simulasi Premi 1 (Personal)'!$E$38="Menurun",'Spek Produk'!AK87,'Spek Produk'!AK145)</f>
        <v>0</v>
      </c>
      <c r="AL29" s="26">
        <f>IF('Simulasi Premi 1 (Personal)'!$E$38="Menurun",'Spek Produk'!AL87,'Spek Produk'!AL145)</f>
        <v>0</v>
      </c>
      <c r="AM29" s="26">
        <f>IF('Simulasi Premi 1 (Personal)'!$E$38="Menurun",'Spek Produk'!AM87,'Spek Produk'!AM145)</f>
        <v>0</v>
      </c>
      <c r="AN29" s="26">
        <f>IF('Simulasi Premi 1 (Personal)'!$E$38="Menurun",'Spek Produk'!AN87,'Spek Produk'!AN145)</f>
        <v>0</v>
      </c>
      <c r="AO29" s="26">
        <f>IF('Simulasi Premi 1 (Personal)'!$E$38="Menurun",'Spek Produk'!AO87,'Spek Produk'!AO145)</f>
        <v>0</v>
      </c>
      <c r="AP29" s="26">
        <f>IF('Simulasi Premi 1 (Personal)'!$E$38="Menurun",'Spek Produk'!AP87,'Spek Produk'!AP145)</f>
        <v>0</v>
      </c>
      <c r="AR29">
        <v>4</v>
      </c>
    </row>
    <row r="30" spans="2:45" x14ac:dyDescent="0.35">
      <c r="B30" s="7"/>
      <c r="C30" s="9" t="s">
        <v>35</v>
      </c>
      <c r="D30" s="9"/>
      <c r="E30" s="11" t="s">
        <v>24</v>
      </c>
      <c r="F30" s="142" t="str">
        <f>F18</f>
        <v>Bancassurance</v>
      </c>
      <c r="G30" s="143"/>
      <c r="H30" s="143"/>
      <c r="I30" s="144"/>
      <c r="J30" s="10"/>
      <c r="L30" s="24">
        <f t="shared" si="0"/>
        <v>42</v>
      </c>
      <c r="M30" s="26">
        <f>IF('Simulasi Premi 1 (Personal)'!$E$38="Menurun",'Spek Produk'!M88,'Spek Produk'!M146)</f>
        <v>4.82</v>
      </c>
      <c r="N30" s="26">
        <f>IF('Simulasi Premi 1 (Personal)'!$E$38="Menurun",'Spek Produk'!N88,'Spek Produk'!N146)</f>
        <v>9.92</v>
      </c>
      <c r="O30" s="26">
        <f>IF('Simulasi Premi 1 (Personal)'!$E$38="Menurun",'Spek Produk'!O88,'Spek Produk'!O146)</f>
        <v>15.74</v>
      </c>
      <c r="P30" s="26">
        <f>IF('Simulasi Premi 1 (Personal)'!$E$38="Menurun",'Spek Produk'!P88,'Spek Produk'!P146)</f>
        <v>22.18</v>
      </c>
      <c r="Q30" s="26">
        <f>IF('Simulasi Premi 1 (Personal)'!$E$38="Menurun",'Spek Produk'!Q88,'Spek Produk'!Q146)</f>
        <v>29.15</v>
      </c>
      <c r="R30" s="26">
        <f>IF('Simulasi Premi 1 (Personal)'!$E$38="Menurun",'Spek Produk'!R88,'Spek Produk'!R146)</f>
        <v>36.53</v>
      </c>
      <c r="S30" s="26">
        <f>IF('Simulasi Premi 1 (Personal)'!$E$38="Menurun",'Spek Produk'!S88,'Spek Produk'!S146)</f>
        <v>44.28</v>
      </c>
      <c r="T30" s="26">
        <f>IF('Simulasi Premi 1 (Personal)'!$E$38="Menurun",'Spek Produk'!T88,'Spek Produk'!T146)</f>
        <v>52.32</v>
      </c>
      <c r="U30" s="26">
        <f>IF('Simulasi Premi 1 (Personal)'!$E$38="Menurun",'Spek Produk'!U88,'Spek Produk'!U146)</f>
        <v>60.58</v>
      </c>
      <c r="V30" s="26">
        <f>IF('Simulasi Premi 1 (Personal)'!$E$38="Menurun",'Spek Produk'!V88,'Spek Produk'!V146)</f>
        <v>69</v>
      </c>
      <c r="W30" s="26">
        <f>IF('Simulasi Premi 1 (Personal)'!$E$38="Menurun",'Spek Produk'!W88,'Spek Produk'!W146)</f>
        <v>77.510000000000005</v>
      </c>
      <c r="X30" s="26">
        <f>IF('Simulasi Premi 1 (Personal)'!$E$38="Menurun",'Spek Produk'!X88,'Spek Produk'!X146)</f>
        <v>86.07</v>
      </c>
      <c r="Y30" s="26">
        <f>IF('Simulasi Premi 1 (Personal)'!$E$38="Menurun",'Spek Produk'!Y88,'Spek Produk'!Y146)</f>
        <v>94.6</v>
      </c>
      <c r="Z30" s="26">
        <f>IF('Simulasi Premi 1 (Personal)'!$E$38="Menurun",'Spek Produk'!Z88,'Spek Produk'!Z146)</f>
        <v>103.04</v>
      </c>
      <c r="AA30" s="26">
        <f>IF('Simulasi Premi 1 (Personal)'!$E$38="Menurun",'Spek Produk'!AA88,'Spek Produk'!AA146)</f>
        <v>111.36</v>
      </c>
      <c r="AB30" s="26">
        <f>IF('Simulasi Premi 1 (Personal)'!$E$38="Menurun",'Spek Produk'!AB88,'Spek Produk'!AB146)</f>
        <v>0</v>
      </c>
      <c r="AC30" s="26">
        <f>IF('Simulasi Premi 1 (Personal)'!$E$38="Menurun",'Spek Produk'!AC88,'Spek Produk'!AC146)</f>
        <v>0</v>
      </c>
      <c r="AD30" s="26">
        <f>IF('Simulasi Premi 1 (Personal)'!$E$38="Menurun",'Spek Produk'!AD88,'Spek Produk'!AD146)</f>
        <v>0</v>
      </c>
      <c r="AE30" s="26">
        <f>IF('Simulasi Premi 1 (Personal)'!$E$38="Menurun",'Spek Produk'!AE88,'Spek Produk'!AE146)</f>
        <v>0</v>
      </c>
      <c r="AF30" s="26">
        <f>IF('Simulasi Premi 1 (Personal)'!$E$38="Menurun",'Spek Produk'!AF88,'Spek Produk'!AF146)</f>
        <v>0</v>
      </c>
      <c r="AG30" s="26">
        <f>IF('Simulasi Premi 1 (Personal)'!$E$38="Menurun",'Spek Produk'!AG88,'Spek Produk'!AG146)</f>
        <v>0</v>
      </c>
      <c r="AH30" s="26">
        <f>IF('Simulasi Premi 1 (Personal)'!$E$38="Menurun",'Spek Produk'!AH88,'Spek Produk'!AH146)</f>
        <v>0</v>
      </c>
      <c r="AI30" s="26">
        <f>IF('Simulasi Premi 1 (Personal)'!$E$38="Menurun",'Spek Produk'!AI88,'Spek Produk'!AI146)</f>
        <v>0</v>
      </c>
      <c r="AJ30" s="26">
        <f>IF('Simulasi Premi 1 (Personal)'!$E$38="Menurun",'Spek Produk'!AJ88,'Spek Produk'!AJ146)</f>
        <v>0</v>
      </c>
      <c r="AK30" s="26">
        <f>IF('Simulasi Premi 1 (Personal)'!$E$38="Menurun",'Spek Produk'!AK88,'Spek Produk'!AK146)</f>
        <v>0</v>
      </c>
      <c r="AL30" s="26">
        <f>IF('Simulasi Premi 1 (Personal)'!$E$38="Menurun",'Spek Produk'!AL88,'Spek Produk'!AL146)</f>
        <v>0</v>
      </c>
      <c r="AM30" s="26">
        <f>IF('Simulasi Premi 1 (Personal)'!$E$38="Menurun",'Spek Produk'!AM88,'Spek Produk'!AM146)</f>
        <v>0</v>
      </c>
      <c r="AN30" s="26">
        <f>IF('Simulasi Premi 1 (Personal)'!$E$38="Menurun",'Spek Produk'!AN88,'Spek Produk'!AN146)</f>
        <v>0</v>
      </c>
      <c r="AO30" s="26">
        <f>IF('Simulasi Premi 1 (Personal)'!$E$38="Menurun",'Spek Produk'!AO88,'Spek Produk'!AO146)</f>
        <v>0</v>
      </c>
      <c r="AP30" s="26">
        <f>IF('Simulasi Premi 1 (Personal)'!$E$38="Menurun",'Spek Produk'!AP88,'Spek Produk'!AP146)</f>
        <v>0</v>
      </c>
      <c r="AR30">
        <v>5</v>
      </c>
    </row>
    <row r="31" spans="2:45" x14ac:dyDescent="0.35">
      <c r="B31" s="7"/>
      <c r="C31" s="9" t="s">
        <v>36</v>
      </c>
      <c r="D31" s="9"/>
      <c r="E31" s="11" t="s">
        <v>24</v>
      </c>
      <c r="F31" s="142" t="str">
        <f>F19</f>
        <v>BPR Binarta Luhur</v>
      </c>
      <c r="G31" s="143"/>
      <c r="H31" s="143"/>
      <c r="I31" s="144"/>
      <c r="J31" s="10"/>
      <c r="L31" s="24">
        <f t="shared" si="0"/>
        <v>43</v>
      </c>
      <c r="M31" s="26">
        <f>IF('Simulasi Premi 1 (Personal)'!$E$38="Menurun",'Spek Produk'!M89,'Spek Produk'!M147)</f>
        <v>4.82</v>
      </c>
      <c r="N31" s="26">
        <f>IF('Simulasi Premi 1 (Personal)'!$E$38="Menurun",'Spek Produk'!N89,'Spek Produk'!N147)</f>
        <v>9.92</v>
      </c>
      <c r="O31" s="26">
        <f>IF('Simulasi Premi 1 (Personal)'!$E$38="Menurun",'Spek Produk'!O89,'Spek Produk'!O147)</f>
        <v>15.74</v>
      </c>
      <c r="P31" s="26">
        <f>IF('Simulasi Premi 1 (Personal)'!$E$38="Menurun",'Spek Produk'!P89,'Spek Produk'!P147)</f>
        <v>22.18</v>
      </c>
      <c r="Q31" s="26">
        <f>IF('Simulasi Premi 1 (Personal)'!$E$38="Menurun",'Spek Produk'!Q89,'Spek Produk'!Q147)</f>
        <v>29.15</v>
      </c>
      <c r="R31" s="26">
        <f>IF('Simulasi Premi 1 (Personal)'!$E$38="Menurun",'Spek Produk'!R89,'Spek Produk'!R147)</f>
        <v>36.53</v>
      </c>
      <c r="S31" s="26">
        <f>IF('Simulasi Premi 1 (Personal)'!$E$38="Menurun",'Spek Produk'!S89,'Spek Produk'!S147)</f>
        <v>44.28</v>
      </c>
      <c r="T31" s="26">
        <f>IF('Simulasi Premi 1 (Personal)'!$E$38="Menurun",'Spek Produk'!T89,'Spek Produk'!T147)</f>
        <v>52.32</v>
      </c>
      <c r="U31" s="26">
        <f>IF('Simulasi Premi 1 (Personal)'!$E$38="Menurun",'Spek Produk'!U89,'Spek Produk'!U147)</f>
        <v>60.58</v>
      </c>
      <c r="V31" s="26">
        <f>IF('Simulasi Premi 1 (Personal)'!$E$38="Menurun",'Spek Produk'!V89,'Spek Produk'!V147)</f>
        <v>69</v>
      </c>
      <c r="W31" s="26">
        <f>IF('Simulasi Premi 1 (Personal)'!$E$38="Menurun",'Spek Produk'!W89,'Spek Produk'!W147)</f>
        <v>77.510000000000005</v>
      </c>
      <c r="X31" s="26">
        <f>IF('Simulasi Premi 1 (Personal)'!$E$38="Menurun",'Spek Produk'!X89,'Spek Produk'!X147)</f>
        <v>86.07</v>
      </c>
      <c r="Y31" s="26">
        <f>IF('Simulasi Premi 1 (Personal)'!$E$38="Menurun",'Spek Produk'!Y89,'Spek Produk'!Y147)</f>
        <v>94.6</v>
      </c>
      <c r="Z31" s="26">
        <f>IF('Simulasi Premi 1 (Personal)'!$E$38="Menurun",'Spek Produk'!Z89,'Spek Produk'!Z147)</f>
        <v>103.04</v>
      </c>
      <c r="AA31" s="26">
        <f>IF('Simulasi Premi 1 (Personal)'!$E$38="Menurun",'Spek Produk'!AA89,'Spek Produk'!AA147)</f>
        <v>111.36</v>
      </c>
      <c r="AB31" s="26">
        <f>IF('Simulasi Premi 1 (Personal)'!$E$38="Menurun",'Spek Produk'!AB89,'Spek Produk'!AB147)</f>
        <v>0</v>
      </c>
      <c r="AC31" s="26">
        <f>IF('Simulasi Premi 1 (Personal)'!$E$38="Menurun",'Spek Produk'!AC89,'Spek Produk'!AC147)</f>
        <v>0</v>
      </c>
      <c r="AD31" s="26">
        <f>IF('Simulasi Premi 1 (Personal)'!$E$38="Menurun",'Spek Produk'!AD89,'Spek Produk'!AD147)</f>
        <v>0</v>
      </c>
      <c r="AE31" s="26">
        <f>IF('Simulasi Premi 1 (Personal)'!$E$38="Menurun",'Spek Produk'!AE89,'Spek Produk'!AE147)</f>
        <v>0</v>
      </c>
      <c r="AF31" s="26">
        <f>IF('Simulasi Premi 1 (Personal)'!$E$38="Menurun",'Spek Produk'!AF89,'Spek Produk'!AF147)</f>
        <v>0</v>
      </c>
      <c r="AG31" s="26">
        <f>IF('Simulasi Premi 1 (Personal)'!$E$38="Menurun",'Spek Produk'!AG89,'Spek Produk'!AG147)</f>
        <v>0</v>
      </c>
      <c r="AH31" s="26">
        <f>IF('Simulasi Premi 1 (Personal)'!$E$38="Menurun",'Spek Produk'!AH89,'Spek Produk'!AH147)</f>
        <v>0</v>
      </c>
      <c r="AI31" s="26">
        <f>IF('Simulasi Premi 1 (Personal)'!$E$38="Menurun",'Spek Produk'!AI89,'Spek Produk'!AI147)</f>
        <v>0</v>
      </c>
      <c r="AJ31" s="26">
        <f>IF('Simulasi Premi 1 (Personal)'!$E$38="Menurun",'Spek Produk'!AJ89,'Spek Produk'!AJ147)</f>
        <v>0</v>
      </c>
      <c r="AK31" s="26">
        <f>IF('Simulasi Premi 1 (Personal)'!$E$38="Menurun",'Spek Produk'!AK89,'Spek Produk'!AK147)</f>
        <v>0</v>
      </c>
      <c r="AL31" s="26">
        <f>IF('Simulasi Premi 1 (Personal)'!$E$38="Menurun",'Spek Produk'!AL89,'Spek Produk'!AL147)</f>
        <v>0</v>
      </c>
      <c r="AM31" s="26">
        <f>IF('Simulasi Premi 1 (Personal)'!$E$38="Menurun",'Spek Produk'!AM89,'Spek Produk'!AM147)</f>
        <v>0</v>
      </c>
      <c r="AN31" s="26">
        <f>IF('Simulasi Premi 1 (Personal)'!$E$38="Menurun",'Spek Produk'!AN89,'Spek Produk'!AN147)</f>
        <v>0</v>
      </c>
      <c r="AO31" s="26">
        <f>IF('Simulasi Premi 1 (Personal)'!$E$38="Menurun",'Spek Produk'!AO89,'Spek Produk'!AO147)</f>
        <v>0</v>
      </c>
      <c r="AP31" s="26">
        <f>IF('Simulasi Premi 1 (Personal)'!$E$38="Menurun",'Spek Produk'!AP89,'Spek Produk'!AP147)</f>
        <v>0</v>
      </c>
      <c r="AR31">
        <v>6</v>
      </c>
    </row>
    <row r="32" spans="2:45" x14ac:dyDescent="0.35">
      <c r="B32" s="7"/>
      <c r="C32" s="9" t="s">
        <v>37</v>
      </c>
      <c r="D32" s="9"/>
      <c r="E32" s="11" t="s">
        <v>24</v>
      </c>
      <c r="F32" s="142">
        <f>F20</f>
        <v>500000000</v>
      </c>
      <c r="G32" s="143"/>
      <c r="H32" s="143"/>
      <c r="I32" s="144"/>
      <c r="J32" s="10"/>
      <c r="L32" s="24">
        <f t="shared" si="0"/>
        <v>44</v>
      </c>
      <c r="M32" s="26">
        <f>IF('Simulasi Premi 1 (Personal)'!$E$38="Menurun",'Spek Produk'!M90,'Spek Produk'!M148)</f>
        <v>4.82</v>
      </c>
      <c r="N32" s="26">
        <f>IF('Simulasi Premi 1 (Personal)'!$E$38="Menurun",'Spek Produk'!N90,'Spek Produk'!N148)</f>
        <v>9.92</v>
      </c>
      <c r="O32" s="26">
        <f>IF('Simulasi Premi 1 (Personal)'!$E$38="Menurun",'Spek Produk'!O90,'Spek Produk'!O148)</f>
        <v>15.74</v>
      </c>
      <c r="P32" s="26">
        <f>IF('Simulasi Premi 1 (Personal)'!$E$38="Menurun",'Spek Produk'!P90,'Spek Produk'!P148)</f>
        <v>22.18</v>
      </c>
      <c r="Q32" s="26">
        <f>IF('Simulasi Premi 1 (Personal)'!$E$38="Menurun",'Spek Produk'!Q90,'Spek Produk'!Q148)</f>
        <v>29.15</v>
      </c>
      <c r="R32" s="26">
        <f>IF('Simulasi Premi 1 (Personal)'!$E$38="Menurun",'Spek Produk'!R90,'Spek Produk'!R148)</f>
        <v>36.53</v>
      </c>
      <c r="S32" s="26">
        <f>IF('Simulasi Premi 1 (Personal)'!$E$38="Menurun",'Spek Produk'!S90,'Spek Produk'!S148)</f>
        <v>44.28</v>
      </c>
      <c r="T32" s="26">
        <f>IF('Simulasi Premi 1 (Personal)'!$E$38="Menurun",'Spek Produk'!T90,'Spek Produk'!T148)</f>
        <v>52.32</v>
      </c>
      <c r="U32" s="26">
        <f>IF('Simulasi Premi 1 (Personal)'!$E$38="Menurun",'Spek Produk'!U90,'Spek Produk'!U148)</f>
        <v>60.58</v>
      </c>
      <c r="V32" s="26">
        <f>IF('Simulasi Premi 1 (Personal)'!$E$38="Menurun",'Spek Produk'!V90,'Spek Produk'!V148)</f>
        <v>69</v>
      </c>
      <c r="W32" s="26">
        <f>IF('Simulasi Premi 1 (Personal)'!$E$38="Menurun",'Spek Produk'!W90,'Spek Produk'!W148)</f>
        <v>77.510000000000005</v>
      </c>
      <c r="X32" s="26">
        <f>IF('Simulasi Premi 1 (Personal)'!$E$38="Menurun",'Spek Produk'!X90,'Spek Produk'!X148)</f>
        <v>86.07</v>
      </c>
      <c r="Y32" s="26">
        <f>IF('Simulasi Premi 1 (Personal)'!$E$38="Menurun",'Spek Produk'!Y90,'Spek Produk'!Y148)</f>
        <v>94.6</v>
      </c>
      <c r="Z32" s="26">
        <f>IF('Simulasi Premi 1 (Personal)'!$E$38="Menurun",'Spek Produk'!Z90,'Spek Produk'!Z148)</f>
        <v>103.04</v>
      </c>
      <c r="AA32" s="26">
        <f>IF('Simulasi Premi 1 (Personal)'!$E$38="Menurun",'Spek Produk'!AA90,'Spek Produk'!AA148)</f>
        <v>111.36</v>
      </c>
      <c r="AB32" s="26">
        <f>IF('Simulasi Premi 1 (Personal)'!$E$38="Menurun",'Spek Produk'!AB90,'Spek Produk'!AB148)</f>
        <v>0</v>
      </c>
      <c r="AC32" s="26">
        <f>IF('Simulasi Premi 1 (Personal)'!$E$38="Menurun",'Spek Produk'!AC90,'Spek Produk'!AC148)</f>
        <v>0</v>
      </c>
      <c r="AD32" s="26">
        <f>IF('Simulasi Premi 1 (Personal)'!$E$38="Menurun",'Spek Produk'!AD90,'Spek Produk'!AD148)</f>
        <v>0</v>
      </c>
      <c r="AE32" s="26">
        <f>IF('Simulasi Premi 1 (Personal)'!$E$38="Menurun",'Spek Produk'!AE90,'Spek Produk'!AE148)</f>
        <v>0</v>
      </c>
      <c r="AF32" s="26">
        <f>IF('Simulasi Premi 1 (Personal)'!$E$38="Menurun",'Spek Produk'!AF90,'Spek Produk'!AF148)</f>
        <v>0</v>
      </c>
      <c r="AG32" s="26">
        <f>IF('Simulasi Premi 1 (Personal)'!$E$38="Menurun",'Spek Produk'!AG90,'Spek Produk'!AG148)</f>
        <v>0</v>
      </c>
      <c r="AH32" s="26">
        <f>IF('Simulasi Premi 1 (Personal)'!$E$38="Menurun",'Spek Produk'!AH90,'Spek Produk'!AH148)</f>
        <v>0</v>
      </c>
      <c r="AI32" s="26">
        <f>IF('Simulasi Premi 1 (Personal)'!$E$38="Menurun",'Spek Produk'!AI90,'Spek Produk'!AI148)</f>
        <v>0</v>
      </c>
      <c r="AJ32" s="26">
        <f>IF('Simulasi Premi 1 (Personal)'!$E$38="Menurun",'Spek Produk'!AJ90,'Spek Produk'!AJ148)</f>
        <v>0</v>
      </c>
      <c r="AK32" s="26">
        <f>IF('Simulasi Premi 1 (Personal)'!$E$38="Menurun",'Spek Produk'!AK90,'Spek Produk'!AK148)</f>
        <v>0</v>
      </c>
      <c r="AL32" s="26">
        <f>IF('Simulasi Premi 1 (Personal)'!$E$38="Menurun",'Spek Produk'!AL90,'Spek Produk'!AL148)</f>
        <v>0</v>
      </c>
      <c r="AM32" s="26">
        <f>IF('Simulasi Premi 1 (Personal)'!$E$38="Menurun",'Spek Produk'!AM90,'Spek Produk'!AM148)</f>
        <v>0</v>
      </c>
      <c r="AN32" s="26">
        <f>IF('Simulasi Premi 1 (Personal)'!$E$38="Menurun",'Spek Produk'!AN90,'Spek Produk'!AN148)</f>
        <v>0</v>
      </c>
      <c r="AO32" s="26">
        <f>IF('Simulasi Premi 1 (Personal)'!$E$38="Menurun",'Spek Produk'!AO90,'Spek Produk'!AO148)</f>
        <v>0</v>
      </c>
      <c r="AP32" s="26">
        <f>IF('Simulasi Premi 1 (Personal)'!$E$38="Menurun",'Spek Produk'!AP90,'Spek Produk'!AP148)</f>
        <v>0</v>
      </c>
      <c r="AR32">
        <v>7</v>
      </c>
    </row>
    <row r="33" spans="2:59" x14ac:dyDescent="0.35">
      <c r="B33" s="7"/>
      <c r="C33" s="9" t="s">
        <v>89</v>
      </c>
      <c r="D33" s="9"/>
      <c r="E33" s="11" t="s">
        <v>24</v>
      </c>
      <c r="F33" s="142" t="str">
        <f>F21</f>
        <v>Konvensional</v>
      </c>
      <c r="G33" s="143"/>
      <c r="H33" s="143"/>
      <c r="I33" s="144"/>
      <c r="J33" s="10"/>
      <c r="L33" s="24">
        <f t="shared" si="0"/>
        <v>45</v>
      </c>
      <c r="M33" s="26">
        <f>IF('Simulasi Premi 1 (Personal)'!$E$38="Menurun",'Spek Produk'!M91,'Spek Produk'!M149)</f>
        <v>4.82</v>
      </c>
      <c r="N33" s="26">
        <f>IF('Simulasi Premi 1 (Personal)'!$E$38="Menurun",'Spek Produk'!N91,'Spek Produk'!N149)</f>
        <v>9.92</v>
      </c>
      <c r="O33" s="26">
        <f>IF('Simulasi Premi 1 (Personal)'!$E$38="Menurun",'Spek Produk'!O91,'Spek Produk'!O149)</f>
        <v>15.74</v>
      </c>
      <c r="P33" s="26">
        <f>IF('Simulasi Premi 1 (Personal)'!$E$38="Menurun",'Spek Produk'!P91,'Spek Produk'!P149)</f>
        <v>22.18</v>
      </c>
      <c r="Q33" s="26">
        <f>IF('Simulasi Premi 1 (Personal)'!$E$38="Menurun",'Spek Produk'!Q91,'Spek Produk'!Q149)</f>
        <v>29.15</v>
      </c>
      <c r="R33" s="26">
        <f>IF('Simulasi Premi 1 (Personal)'!$E$38="Menurun",'Spek Produk'!R91,'Spek Produk'!R149)</f>
        <v>36.53</v>
      </c>
      <c r="S33" s="26">
        <f>IF('Simulasi Premi 1 (Personal)'!$E$38="Menurun",'Spek Produk'!S91,'Spek Produk'!S149)</f>
        <v>44.28</v>
      </c>
      <c r="T33" s="26">
        <f>IF('Simulasi Premi 1 (Personal)'!$E$38="Menurun",'Spek Produk'!T91,'Spek Produk'!T149)</f>
        <v>52.32</v>
      </c>
      <c r="U33" s="26">
        <f>IF('Simulasi Premi 1 (Personal)'!$E$38="Menurun",'Spek Produk'!U91,'Spek Produk'!U149)</f>
        <v>60.58</v>
      </c>
      <c r="V33" s="26">
        <f>IF('Simulasi Premi 1 (Personal)'!$E$38="Menurun",'Spek Produk'!V91,'Spek Produk'!V149)</f>
        <v>69</v>
      </c>
      <c r="W33" s="26">
        <f>IF('Simulasi Premi 1 (Personal)'!$E$38="Menurun",'Spek Produk'!W91,'Spek Produk'!W149)</f>
        <v>77.510000000000005</v>
      </c>
      <c r="X33" s="26">
        <f>IF('Simulasi Premi 1 (Personal)'!$E$38="Menurun",'Spek Produk'!X91,'Spek Produk'!X149)</f>
        <v>86.07</v>
      </c>
      <c r="Y33" s="26">
        <f>IF('Simulasi Premi 1 (Personal)'!$E$38="Menurun",'Spek Produk'!Y91,'Spek Produk'!Y149)</f>
        <v>94.6</v>
      </c>
      <c r="Z33" s="26">
        <f>IF('Simulasi Premi 1 (Personal)'!$E$38="Menurun",'Spek Produk'!Z91,'Spek Produk'!Z149)</f>
        <v>103.04</v>
      </c>
      <c r="AA33" s="26">
        <f>IF('Simulasi Premi 1 (Personal)'!$E$38="Menurun",'Spek Produk'!AA91,'Spek Produk'!AA149)</f>
        <v>111.36</v>
      </c>
      <c r="AB33" s="26">
        <f>IF('Simulasi Premi 1 (Personal)'!$E$38="Menurun",'Spek Produk'!AB91,'Spek Produk'!AB149)</f>
        <v>0</v>
      </c>
      <c r="AC33" s="26">
        <f>IF('Simulasi Premi 1 (Personal)'!$E$38="Menurun",'Spek Produk'!AC91,'Spek Produk'!AC149)</f>
        <v>0</v>
      </c>
      <c r="AD33" s="26">
        <f>IF('Simulasi Premi 1 (Personal)'!$E$38="Menurun",'Spek Produk'!AD91,'Spek Produk'!AD149)</f>
        <v>0</v>
      </c>
      <c r="AE33" s="26">
        <f>IF('Simulasi Premi 1 (Personal)'!$E$38="Menurun",'Spek Produk'!AE91,'Spek Produk'!AE149)</f>
        <v>0</v>
      </c>
      <c r="AF33" s="26">
        <f>IF('Simulasi Premi 1 (Personal)'!$E$38="Menurun",'Spek Produk'!AF91,'Spek Produk'!AF149)</f>
        <v>0</v>
      </c>
      <c r="AG33" s="26">
        <f>IF('Simulasi Premi 1 (Personal)'!$E$38="Menurun",'Spek Produk'!AG91,'Spek Produk'!AG149)</f>
        <v>0</v>
      </c>
      <c r="AH33" s="26">
        <f>IF('Simulasi Premi 1 (Personal)'!$E$38="Menurun",'Spek Produk'!AH91,'Spek Produk'!AH149)</f>
        <v>0</v>
      </c>
      <c r="AI33" s="26">
        <f>IF('Simulasi Premi 1 (Personal)'!$E$38="Menurun",'Spek Produk'!AI91,'Spek Produk'!AI149)</f>
        <v>0</v>
      </c>
      <c r="AJ33" s="26">
        <f>IF('Simulasi Premi 1 (Personal)'!$E$38="Menurun",'Spek Produk'!AJ91,'Spek Produk'!AJ149)</f>
        <v>0</v>
      </c>
      <c r="AK33" s="26">
        <f>IF('Simulasi Premi 1 (Personal)'!$E$38="Menurun",'Spek Produk'!AK91,'Spek Produk'!AK149)</f>
        <v>0</v>
      </c>
      <c r="AL33" s="26">
        <f>IF('Simulasi Premi 1 (Personal)'!$E$38="Menurun",'Spek Produk'!AL91,'Spek Produk'!AL149)</f>
        <v>0</v>
      </c>
      <c r="AM33" s="26">
        <f>IF('Simulasi Premi 1 (Personal)'!$E$38="Menurun",'Spek Produk'!AM91,'Spek Produk'!AM149)</f>
        <v>0</v>
      </c>
      <c r="AN33" s="26">
        <f>IF('Simulasi Premi 1 (Personal)'!$E$38="Menurun",'Spek Produk'!AN91,'Spek Produk'!AN149)</f>
        <v>0</v>
      </c>
      <c r="AO33" s="26">
        <f>IF('Simulasi Premi 1 (Personal)'!$E$38="Menurun",'Spek Produk'!AO91,'Spek Produk'!AO149)</f>
        <v>0</v>
      </c>
      <c r="AP33" s="26">
        <f>IF('Simulasi Premi 1 (Personal)'!$E$38="Menurun",'Spek Produk'!AP91,'Spek Produk'!AP149)</f>
        <v>0</v>
      </c>
      <c r="AR33">
        <v>8</v>
      </c>
    </row>
    <row r="34" spans="2:59" x14ac:dyDescent="0.35">
      <c r="B34" s="7"/>
      <c r="C34" s="12" t="s">
        <v>38</v>
      </c>
      <c r="D34" s="12"/>
      <c r="E34" s="11" t="s">
        <v>24</v>
      </c>
      <c r="F34" s="13" t="s">
        <v>39</v>
      </c>
      <c r="G34" s="14">
        <f>G22</f>
        <v>0</v>
      </c>
      <c r="H34" s="13" t="s">
        <v>40</v>
      </c>
      <c r="I34" s="14">
        <f>I22</f>
        <v>15</v>
      </c>
      <c r="J34" s="10"/>
      <c r="L34" s="24">
        <f t="shared" si="0"/>
        <v>46</v>
      </c>
      <c r="M34" s="26">
        <f>IF('Simulasi Premi 1 (Personal)'!$E$38="Menurun",'Spek Produk'!M92,'Spek Produk'!M150)</f>
        <v>4.82</v>
      </c>
      <c r="N34" s="26">
        <f>IF('Simulasi Premi 1 (Personal)'!$E$38="Menurun",'Spek Produk'!N92,'Spek Produk'!N150)</f>
        <v>9.92</v>
      </c>
      <c r="O34" s="26">
        <f>IF('Simulasi Premi 1 (Personal)'!$E$38="Menurun",'Spek Produk'!O92,'Spek Produk'!O150)</f>
        <v>15.74</v>
      </c>
      <c r="P34" s="26">
        <f>IF('Simulasi Premi 1 (Personal)'!$E$38="Menurun",'Spek Produk'!P92,'Spek Produk'!P150)</f>
        <v>22.18</v>
      </c>
      <c r="Q34" s="26">
        <f>IF('Simulasi Premi 1 (Personal)'!$E$38="Menurun",'Spek Produk'!Q92,'Spek Produk'!Q150)</f>
        <v>29.15</v>
      </c>
      <c r="R34" s="26">
        <f>IF('Simulasi Premi 1 (Personal)'!$E$38="Menurun",'Spek Produk'!R92,'Spek Produk'!R150)</f>
        <v>36.53</v>
      </c>
      <c r="S34" s="26">
        <f>IF('Simulasi Premi 1 (Personal)'!$E$38="Menurun",'Spek Produk'!S92,'Spek Produk'!S150)</f>
        <v>44.28</v>
      </c>
      <c r="T34" s="26">
        <f>IF('Simulasi Premi 1 (Personal)'!$E$38="Menurun",'Spek Produk'!T92,'Spek Produk'!T150)</f>
        <v>52.32</v>
      </c>
      <c r="U34" s="26">
        <f>IF('Simulasi Premi 1 (Personal)'!$E$38="Menurun",'Spek Produk'!U92,'Spek Produk'!U150)</f>
        <v>60.58</v>
      </c>
      <c r="V34" s="26">
        <f>IF('Simulasi Premi 1 (Personal)'!$E$38="Menurun",'Spek Produk'!V92,'Spek Produk'!V150)</f>
        <v>69</v>
      </c>
      <c r="W34" s="26">
        <f>IF('Simulasi Premi 1 (Personal)'!$E$38="Menurun",'Spek Produk'!W92,'Spek Produk'!W150)</f>
        <v>77.510000000000005</v>
      </c>
      <c r="X34" s="26">
        <f>IF('Simulasi Premi 1 (Personal)'!$E$38="Menurun",'Spek Produk'!X92,'Spek Produk'!X150)</f>
        <v>86.07</v>
      </c>
      <c r="Y34" s="26">
        <f>IF('Simulasi Premi 1 (Personal)'!$E$38="Menurun",'Spek Produk'!Y92,'Spek Produk'!Y150)</f>
        <v>94.6</v>
      </c>
      <c r="Z34" s="26">
        <f>IF('Simulasi Premi 1 (Personal)'!$E$38="Menurun",'Spek Produk'!Z92,'Spek Produk'!Z150)</f>
        <v>103.04</v>
      </c>
      <c r="AA34" s="26">
        <f>IF('Simulasi Premi 1 (Personal)'!$E$38="Menurun",'Spek Produk'!AA92,'Spek Produk'!AA150)</f>
        <v>111.36</v>
      </c>
      <c r="AB34" s="26">
        <f>IF('Simulasi Premi 1 (Personal)'!$E$38="Menurun",'Spek Produk'!AB92,'Spek Produk'!AB150)</f>
        <v>0</v>
      </c>
      <c r="AC34" s="26">
        <f>IF('Simulasi Premi 1 (Personal)'!$E$38="Menurun",'Spek Produk'!AC92,'Spek Produk'!AC150)</f>
        <v>0</v>
      </c>
      <c r="AD34" s="26">
        <f>IF('Simulasi Premi 1 (Personal)'!$E$38="Menurun",'Spek Produk'!AD92,'Spek Produk'!AD150)</f>
        <v>0</v>
      </c>
      <c r="AE34" s="26">
        <f>IF('Simulasi Premi 1 (Personal)'!$E$38="Menurun",'Spek Produk'!AE92,'Spek Produk'!AE150)</f>
        <v>0</v>
      </c>
      <c r="AF34" s="26">
        <f>IF('Simulasi Premi 1 (Personal)'!$E$38="Menurun",'Spek Produk'!AF92,'Spek Produk'!AF150)</f>
        <v>0</v>
      </c>
      <c r="AG34" s="26">
        <f>IF('Simulasi Premi 1 (Personal)'!$E$38="Menurun",'Spek Produk'!AG92,'Spek Produk'!AG150)</f>
        <v>0</v>
      </c>
      <c r="AH34" s="26">
        <f>IF('Simulasi Premi 1 (Personal)'!$E$38="Menurun",'Spek Produk'!AH92,'Spek Produk'!AH150)</f>
        <v>0</v>
      </c>
      <c r="AI34" s="26">
        <f>IF('Simulasi Premi 1 (Personal)'!$E$38="Menurun",'Spek Produk'!AI92,'Spek Produk'!AI150)</f>
        <v>0</v>
      </c>
      <c r="AJ34" s="26">
        <f>IF('Simulasi Premi 1 (Personal)'!$E$38="Menurun",'Spek Produk'!AJ92,'Spek Produk'!AJ150)</f>
        <v>0</v>
      </c>
      <c r="AK34" s="26">
        <f>IF('Simulasi Premi 1 (Personal)'!$E$38="Menurun",'Spek Produk'!AK92,'Spek Produk'!AK150)</f>
        <v>0</v>
      </c>
      <c r="AL34" s="26">
        <f>IF('Simulasi Premi 1 (Personal)'!$E$38="Menurun",'Spek Produk'!AL92,'Spek Produk'!AL150)</f>
        <v>0</v>
      </c>
      <c r="AM34" s="26">
        <f>IF('Simulasi Premi 1 (Personal)'!$E$38="Menurun",'Spek Produk'!AM92,'Spek Produk'!AM150)</f>
        <v>0</v>
      </c>
      <c r="AN34" s="26">
        <f>IF('Simulasi Premi 1 (Personal)'!$E$38="Menurun",'Spek Produk'!AN92,'Spek Produk'!AN150)</f>
        <v>0</v>
      </c>
      <c r="AO34" s="26">
        <f>IF('Simulasi Premi 1 (Personal)'!$E$38="Menurun",'Spek Produk'!AO92,'Spek Produk'!AO150)</f>
        <v>0</v>
      </c>
      <c r="AP34" s="26">
        <f>IF('Simulasi Premi 1 (Personal)'!$E$38="Menurun",'Spek Produk'!AP92,'Spek Produk'!AP150)</f>
        <v>0</v>
      </c>
      <c r="AR34">
        <v>9</v>
      </c>
    </row>
    <row r="35" spans="2:59" x14ac:dyDescent="0.35">
      <c r="B35" s="7"/>
      <c r="C35" s="12" t="s">
        <v>41</v>
      </c>
      <c r="D35" s="12"/>
      <c r="E35" s="11" t="s">
        <v>24</v>
      </c>
      <c r="F35" s="13" t="s">
        <v>39</v>
      </c>
      <c r="G35" s="14">
        <f>G23</f>
        <v>18</v>
      </c>
      <c r="H35" s="13" t="s">
        <v>40</v>
      </c>
      <c r="I35" s="14">
        <f>I23</f>
        <v>65</v>
      </c>
      <c r="J35" s="10"/>
      <c r="L35" s="24">
        <f t="shared" si="0"/>
        <v>47</v>
      </c>
      <c r="M35" s="26">
        <f>IF('Simulasi Premi 1 (Personal)'!$E$38="Menurun",'Spek Produk'!M93,'Spek Produk'!M151)</f>
        <v>4.82</v>
      </c>
      <c r="N35" s="26">
        <f>IF('Simulasi Premi 1 (Personal)'!$E$38="Menurun",'Spek Produk'!N93,'Spek Produk'!N151)</f>
        <v>9.92</v>
      </c>
      <c r="O35" s="26">
        <f>IF('Simulasi Premi 1 (Personal)'!$E$38="Menurun",'Spek Produk'!O93,'Spek Produk'!O151)</f>
        <v>15.74</v>
      </c>
      <c r="P35" s="26">
        <f>IF('Simulasi Premi 1 (Personal)'!$E$38="Menurun",'Spek Produk'!P93,'Spek Produk'!P151)</f>
        <v>22.18</v>
      </c>
      <c r="Q35" s="26">
        <f>IF('Simulasi Premi 1 (Personal)'!$E$38="Menurun",'Spek Produk'!Q93,'Spek Produk'!Q151)</f>
        <v>29.15</v>
      </c>
      <c r="R35" s="26">
        <f>IF('Simulasi Premi 1 (Personal)'!$E$38="Menurun",'Spek Produk'!R93,'Spek Produk'!R151)</f>
        <v>36.53</v>
      </c>
      <c r="S35" s="26">
        <f>IF('Simulasi Premi 1 (Personal)'!$E$38="Menurun",'Spek Produk'!S93,'Spek Produk'!S151)</f>
        <v>44.28</v>
      </c>
      <c r="T35" s="26">
        <f>IF('Simulasi Premi 1 (Personal)'!$E$38="Menurun",'Spek Produk'!T93,'Spek Produk'!T151)</f>
        <v>52.32</v>
      </c>
      <c r="U35" s="26">
        <f>IF('Simulasi Premi 1 (Personal)'!$E$38="Menurun",'Spek Produk'!U93,'Spek Produk'!U151)</f>
        <v>60.58</v>
      </c>
      <c r="V35" s="26">
        <f>IF('Simulasi Premi 1 (Personal)'!$E$38="Menurun",'Spek Produk'!V93,'Spek Produk'!V151)</f>
        <v>69</v>
      </c>
      <c r="W35" s="26">
        <f>IF('Simulasi Premi 1 (Personal)'!$E$38="Menurun",'Spek Produk'!W93,'Spek Produk'!W151)</f>
        <v>77.510000000000005</v>
      </c>
      <c r="X35" s="26">
        <f>IF('Simulasi Premi 1 (Personal)'!$E$38="Menurun",'Spek Produk'!X93,'Spek Produk'!X151)</f>
        <v>86.07</v>
      </c>
      <c r="Y35" s="26">
        <f>IF('Simulasi Premi 1 (Personal)'!$E$38="Menurun",'Spek Produk'!Y93,'Spek Produk'!Y151)</f>
        <v>94.6</v>
      </c>
      <c r="Z35" s="26">
        <f>IF('Simulasi Premi 1 (Personal)'!$E$38="Menurun",'Spek Produk'!Z93,'Spek Produk'!Z151)</f>
        <v>103.04</v>
      </c>
      <c r="AA35" s="26">
        <f>IF('Simulasi Premi 1 (Personal)'!$E$38="Menurun",'Spek Produk'!AA93,'Spek Produk'!AA151)</f>
        <v>111.36</v>
      </c>
      <c r="AB35" s="26">
        <f>IF('Simulasi Premi 1 (Personal)'!$E$38="Menurun",'Spek Produk'!AB93,'Spek Produk'!AB151)</f>
        <v>0</v>
      </c>
      <c r="AC35" s="26">
        <f>IF('Simulasi Premi 1 (Personal)'!$E$38="Menurun",'Spek Produk'!AC93,'Spek Produk'!AC151)</f>
        <v>0</v>
      </c>
      <c r="AD35" s="26">
        <f>IF('Simulasi Premi 1 (Personal)'!$E$38="Menurun",'Spek Produk'!AD93,'Spek Produk'!AD151)</f>
        <v>0</v>
      </c>
      <c r="AE35" s="26">
        <f>IF('Simulasi Premi 1 (Personal)'!$E$38="Menurun",'Spek Produk'!AE93,'Spek Produk'!AE151)</f>
        <v>0</v>
      </c>
      <c r="AF35" s="26">
        <f>IF('Simulasi Premi 1 (Personal)'!$E$38="Menurun",'Spek Produk'!AF93,'Spek Produk'!AF151)</f>
        <v>0</v>
      </c>
      <c r="AG35" s="26">
        <f>IF('Simulasi Premi 1 (Personal)'!$E$38="Menurun",'Spek Produk'!AG93,'Spek Produk'!AG151)</f>
        <v>0</v>
      </c>
      <c r="AH35" s="26">
        <f>IF('Simulasi Premi 1 (Personal)'!$E$38="Menurun",'Spek Produk'!AH93,'Spek Produk'!AH151)</f>
        <v>0</v>
      </c>
      <c r="AI35" s="26">
        <f>IF('Simulasi Premi 1 (Personal)'!$E$38="Menurun",'Spek Produk'!AI93,'Spek Produk'!AI151)</f>
        <v>0</v>
      </c>
      <c r="AJ35" s="26">
        <f>IF('Simulasi Premi 1 (Personal)'!$E$38="Menurun",'Spek Produk'!AJ93,'Spek Produk'!AJ151)</f>
        <v>0</v>
      </c>
      <c r="AK35" s="26">
        <f>IF('Simulasi Premi 1 (Personal)'!$E$38="Menurun",'Spek Produk'!AK93,'Spek Produk'!AK151)</f>
        <v>0</v>
      </c>
      <c r="AL35" s="26">
        <f>IF('Simulasi Premi 1 (Personal)'!$E$38="Menurun",'Spek Produk'!AL93,'Spek Produk'!AL151)</f>
        <v>0</v>
      </c>
      <c r="AM35" s="26">
        <f>IF('Simulasi Premi 1 (Personal)'!$E$38="Menurun",'Spek Produk'!AM93,'Spek Produk'!AM151)</f>
        <v>0</v>
      </c>
      <c r="AN35" s="26">
        <f>IF('Simulasi Premi 1 (Personal)'!$E$38="Menurun",'Spek Produk'!AN93,'Spek Produk'!AN151)</f>
        <v>0</v>
      </c>
      <c r="AO35" s="26">
        <f>IF('Simulasi Premi 1 (Personal)'!$E$38="Menurun",'Spek Produk'!AO93,'Spek Produk'!AO151)</f>
        <v>0</v>
      </c>
      <c r="AP35" s="26">
        <f>IF('Simulasi Premi 1 (Personal)'!$E$38="Menurun",'Spek Produk'!AP93,'Spek Produk'!AP151)</f>
        <v>0</v>
      </c>
      <c r="AR35">
        <v>10</v>
      </c>
    </row>
    <row r="36" spans="2:59" x14ac:dyDescent="0.35">
      <c r="B36" s="7"/>
      <c r="C36" s="12" t="s">
        <v>42</v>
      </c>
      <c r="D36" s="12"/>
      <c r="E36" s="11" t="s">
        <v>24</v>
      </c>
      <c r="F36" s="137" t="s">
        <v>43</v>
      </c>
      <c r="G36" s="138"/>
      <c r="H36" s="14">
        <f>H24</f>
        <v>70</v>
      </c>
      <c r="I36" s="16"/>
      <c r="J36" s="17"/>
      <c r="L36" s="24">
        <f t="shared" si="0"/>
        <v>48</v>
      </c>
      <c r="M36" s="26">
        <f>IF('Simulasi Premi 1 (Personal)'!$E$38="Menurun",'Spek Produk'!M94,'Spek Produk'!M152)</f>
        <v>4.82</v>
      </c>
      <c r="N36" s="26">
        <f>IF('Simulasi Premi 1 (Personal)'!$E$38="Menurun",'Spek Produk'!N94,'Spek Produk'!N152)</f>
        <v>9.92</v>
      </c>
      <c r="O36" s="26">
        <f>IF('Simulasi Premi 1 (Personal)'!$E$38="Menurun",'Spek Produk'!O94,'Spek Produk'!O152)</f>
        <v>15.74</v>
      </c>
      <c r="P36" s="26">
        <f>IF('Simulasi Premi 1 (Personal)'!$E$38="Menurun",'Spek Produk'!P94,'Spek Produk'!P152)</f>
        <v>22.18</v>
      </c>
      <c r="Q36" s="26">
        <f>IF('Simulasi Premi 1 (Personal)'!$E$38="Menurun",'Spek Produk'!Q94,'Spek Produk'!Q152)</f>
        <v>29.15</v>
      </c>
      <c r="R36" s="26">
        <f>IF('Simulasi Premi 1 (Personal)'!$E$38="Menurun",'Spek Produk'!R94,'Spek Produk'!R152)</f>
        <v>36.53</v>
      </c>
      <c r="S36" s="26">
        <f>IF('Simulasi Premi 1 (Personal)'!$E$38="Menurun",'Spek Produk'!S94,'Spek Produk'!S152)</f>
        <v>44.28</v>
      </c>
      <c r="T36" s="26">
        <f>IF('Simulasi Premi 1 (Personal)'!$E$38="Menurun",'Spek Produk'!T94,'Spek Produk'!T152)</f>
        <v>52.32</v>
      </c>
      <c r="U36" s="26">
        <f>IF('Simulasi Premi 1 (Personal)'!$E$38="Menurun",'Spek Produk'!U94,'Spek Produk'!U152)</f>
        <v>60.58</v>
      </c>
      <c r="V36" s="26">
        <f>IF('Simulasi Premi 1 (Personal)'!$E$38="Menurun",'Spek Produk'!V94,'Spek Produk'!V152)</f>
        <v>69</v>
      </c>
      <c r="W36" s="26">
        <f>IF('Simulasi Premi 1 (Personal)'!$E$38="Menurun",'Spek Produk'!W94,'Spek Produk'!W152)</f>
        <v>77.510000000000005</v>
      </c>
      <c r="X36" s="26">
        <f>IF('Simulasi Premi 1 (Personal)'!$E$38="Menurun",'Spek Produk'!X94,'Spek Produk'!X152)</f>
        <v>86.07</v>
      </c>
      <c r="Y36" s="26">
        <f>IF('Simulasi Premi 1 (Personal)'!$E$38="Menurun",'Spek Produk'!Y94,'Spek Produk'!Y152)</f>
        <v>94.6</v>
      </c>
      <c r="Z36" s="26">
        <f>IF('Simulasi Premi 1 (Personal)'!$E$38="Menurun",'Spek Produk'!Z94,'Spek Produk'!Z152)</f>
        <v>103.04</v>
      </c>
      <c r="AA36" s="26">
        <f>IF('Simulasi Premi 1 (Personal)'!$E$38="Menurun",'Spek Produk'!AA94,'Spek Produk'!AA152)</f>
        <v>111.36</v>
      </c>
      <c r="AB36" s="26">
        <f>IF('Simulasi Premi 1 (Personal)'!$E$38="Menurun",'Spek Produk'!AB94,'Spek Produk'!AB152)</f>
        <v>0</v>
      </c>
      <c r="AC36" s="26">
        <f>IF('Simulasi Premi 1 (Personal)'!$E$38="Menurun",'Spek Produk'!AC94,'Spek Produk'!AC152)</f>
        <v>0</v>
      </c>
      <c r="AD36" s="26">
        <f>IF('Simulasi Premi 1 (Personal)'!$E$38="Menurun",'Spek Produk'!AD94,'Spek Produk'!AD152)</f>
        <v>0</v>
      </c>
      <c r="AE36" s="26">
        <f>IF('Simulasi Premi 1 (Personal)'!$E$38="Menurun",'Spek Produk'!AE94,'Spek Produk'!AE152)</f>
        <v>0</v>
      </c>
      <c r="AF36" s="26">
        <f>IF('Simulasi Premi 1 (Personal)'!$E$38="Menurun",'Spek Produk'!AF94,'Spek Produk'!AF152)</f>
        <v>0</v>
      </c>
      <c r="AG36" s="26">
        <f>IF('Simulasi Premi 1 (Personal)'!$E$38="Menurun",'Spek Produk'!AG94,'Spek Produk'!AG152)</f>
        <v>0</v>
      </c>
      <c r="AH36" s="26">
        <f>IF('Simulasi Premi 1 (Personal)'!$E$38="Menurun",'Spek Produk'!AH94,'Spek Produk'!AH152)</f>
        <v>0</v>
      </c>
      <c r="AI36" s="26">
        <f>IF('Simulasi Premi 1 (Personal)'!$E$38="Menurun",'Spek Produk'!AI94,'Spek Produk'!AI152)</f>
        <v>0</v>
      </c>
      <c r="AJ36" s="26">
        <f>IF('Simulasi Premi 1 (Personal)'!$E$38="Menurun",'Spek Produk'!AJ94,'Spek Produk'!AJ152)</f>
        <v>0</v>
      </c>
      <c r="AK36" s="26">
        <f>IF('Simulasi Premi 1 (Personal)'!$E$38="Menurun",'Spek Produk'!AK94,'Spek Produk'!AK152)</f>
        <v>0</v>
      </c>
      <c r="AL36" s="26">
        <f>IF('Simulasi Premi 1 (Personal)'!$E$38="Menurun",'Spek Produk'!AL94,'Spek Produk'!AL152)</f>
        <v>0</v>
      </c>
      <c r="AM36" s="26">
        <f>IF('Simulasi Premi 1 (Personal)'!$E$38="Menurun",'Spek Produk'!AM94,'Spek Produk'!AM152)</f>
        <v>0</v>
      </c>
      <c r="AN36" s="26">
        <f>IF('Simulasi Premi 1 (Personal)'!$E$38="Menurun",'Spek Produk'!AN94,'Spek Produk'!AN152)</f>
        <v>0</v>
      </c>
      <c r="AO36" s="26">
        <f>IF('Simulasi Premi 1 (Personal)'!$E$38="Menurun",'Spek Produk'!AO94,'Spek Produk'!AO152)</f>
        <v>0</v>
      </c>
      <c r="AP36" s="26">
        <f>IF('Simulasi Premi 1 (Personal)'!$E$38="Menurun",'Spek Produk'!AP94,'Spek Produk'!AP152)</f>
        <v>0</v>
      </c>
      <c r="AR36">
        <v>11</v>
      </c>
    </row>
    <row r="37" spans="2:59" x14ac:dyDescent="0.35">
      <c r="B37" s="18"/>
      <c r="C37" s="19"/>
      <c r="D37" s="19"/>
      <c r="E37" s="20"/>
      <c r="F37" s="20"/>
      <c r="G37" s="20"/>
      <c r="H37" s="21"/>
      <c r="I37" s="21"/>
      <c r="J37" s="22"/>
      <c r="L37" s="24">
        <f t="shared" si="0"/>
        <v>49</v>
      </c>
      <c r="M37" s="26">
        <f>IF('Simulasi Premi 1 (Personal)'!$E$38="Menurun",'Spek Produk'!M95,'Spek Produk'!M153)</f>
        <v>4.82</v>
      </c>
      <c r="N37" s="26">
        <f>IF('Simulasi Premi 1 (Personal)'!$E$38="Menurun",'Spek Produk'!N95,'Spek Produk'!N153)</f>
        <v>9.92</v>
      </c>
      <c r="O37" s="26">
        <f>IF('Simulasi Premi 1 (Personal)'!$E$38="Menurun",'Spek Produk'!O95,'Spek Produk'!O153)</f>
        <v>15.74</v>
      </c>
      <c r="P37" s="26">
        <f>IF('Simulasi Premi 1 (Personal)'!$E$38="Menurun",'Spek Produk'!P95,'Spek Produk'!P153)</f>
        <v>22.18</v>
      </c>
      <c r="Q37" s="26">
        <f>IF('Simulasi Premi 1 (Personal)'!$E$38="Menurun",'Spek Produk'!Q95,'Spek Produk'!Q153)</f>
        <v>29.15</v>
      </c>
      <c r="R37" s="26">
        <f>IF('Simulasi Premi 1 (Personal)'!$E$38="Menurun",'Spek Produk'!R95,'Spek Produk'!R153)</f>
        <v>36.53</v>
      </c>
      <c r="S37" s="26">
        <f>IF('Simulasi Premi 1 (Personal)'!$E$38="Menurun",'Spek Produk'!S95,'Spek Produk'!S153)</f>
        <v>44.28</v>
      </c>
      <c r="T37" s="26">
        <f>IF('Simulasi Premi 1 (Personal)'!$E$38="Menurun",'Spek Produk'!T95,'Spek Produk'!T153)</f>
        <v>52.32</v>
      </c>
      <c r="U37" s="26">
        <f>IF('Simulasi Premi 1 (Personal)'!$E$38="Menurun",'Spek Produk'!U95,'Spek Produk'!U153)</f>
        <v>60.58</v>
      </c>
      <c r="V37" s="26">
        <f>IF('Simulasi Premi 1 (Personal)'!$E$38="Menurun",'Spek Produk'!V95,'Spek Produk'!V153)</f>
        <v>69</v>
      </c>
      <c r="W37" s="26">
        <f>IF('Simulasi Premi 1 (Personal)'!$E$38="Menurun",'Spek Produk'!W95,'Spek Produk'!W153)</f>
        <v>77.510000000000005</v>
      </c>
      <c r="X37" s="26">
        <f>IF('Simulasi Premi 1 (Personal)'!$E$38="Menurun",'Spek Produk'!X95,'Spek Produk'!X153)</f>
        <v>86.07</v>
      </c>
      <c r="Y37" s="26">
        <f>IF('Simulasi Premi 1 (Personal)'!$E$38="Menurun",'Spek Produk'!Y95,'Spek Produk'!Y153)</f>
        <v>94.6</v>
      </c>
      <c r="Z37" s="26">
        <f>IF('Simulasi Premi 1 (Personal)'!$E$38="Menurun",'Spek Produk'!Z95,'Spek Produk'!Z153)</f>
        <v>103.04</v>
      </c>
      <c r="AA37" s="26">
        <f>IF('Simulasi Premi 1 (Personal)'!$E$38="Menurun",'Spek Produk'!AA95,'Spek Produk'!AA153)</f>
        <v>111.36</v>
      </c>
      <c r="AB37" s="26">
        <f>IF('Simulasi Premi 1 (Personal)'!$E$38="Menurun",'Spek Produk'!AB95,'Spek Produk'!AB153)</f>
        <v>0</v>
      </c>
      <c r="AC37" s="26">
        <f>IF('Simulasi Premi 1 (Personal)'!$E$38="Menurun",'Spek Produk'!AC95,'Spek Produk'!AC153)</f>
        <v>0</v>
      </c>
      <c r="AD37" s="26">
        <f>IF('Simulasi Premi 1 (Personal)'!$E$38="Menurun",'Spek Produk'!AD95,'Spek Produk'!AD153)</f>
        <v>0</v>
      </c>
      <c r="AE37" s="26">
        <f>IF('Simulasi Premi 1 (Personal)'!$E$38="Menurun",'Spek Produk'!AE95,'Spek Produk'!AE153)</f>
        <v>0</v>
      </c>
      <c r="AF37" s="26">
        <f>IF('Simulasi Premi 1 (Personal)'!$E$38="Menurun",'Spek Produk'!AF95,'Spek Produk'!AF153)</f>
        <v>0</v>
      </c>
      <c r="AG37" s="26">
        <f>IF('Simulasi Premi 1 (Personal)'!$E$38="Menurun",'Spek Produk'!AG95,'Spek Produk'!AG153)</f>
        <v>0</v>
      </c>
      <c r="AH37" s="26">
        <f>IF('Simulasi Premi 1 (Personal)'!$E$38="Menurun",'Spek Produk'!AH95,'Spek Produk'!AH153)</f>
        <v>0</v>
      </c>
      <c r="AI37" s="26">
        <f>IF('Simulasi Premi 1 (Personal)'!$E$38="Menurun",'Spek Produk'!AI95,'Spek Produk'!AI153)</f>
        <v>0</v>
      </c>
      <c r="AJ37" s="26">
        <f>IF('Simulasi Premi 1 (Personal)'!$E$38="Menurun",'Spek Produk'!AJ95,'Spek Produk'!AJ153)</f>
        <v>0</v>
      </c>
      <c r="AK37" s="26">
        <f>IF('Simulasi Premi 1 (Personal)'!$E$38="Menurun",'Spek Produk'!AK95,'Spek Produk'!AK153)</f>
        <v>0</v>
      </c>
      <c r="AL37" s="26">
        <f>IF('Simulasi Premi 1 (Personal)'!$E$38="Menurun",'Spek Produk'!AL95,'Spek Produk'!AL153)</f>
        <v>0</v>
      </c>
      <c r="AM37" s="26">
        <f>IF('Simulasi Premi 1 (Personal)'!$E$38="Menurun",'Spek Produk'!AM95,'Spek Produk'!AM153)</f>
        <v>0</v>
      </c>
      <c r="AN37" s="26">
        <f>IF('Simulasi Premi 1 (Personal)'!$E$38="Menurun",'Spek Produk'!AN95,'Spek Produk'!AN153)</f>
        <v>0</v>
      </c>
      <c r="AO37" s="26">
        <f>IF('Simulasi Premi 1 (Personal)'!$E$38="Menurun",'Spek Produk'!AO95,'Spek Produk'!AO153)</f>
        <v>0</v>
      </c>
      <c r="AP37" s="26">
        <f>IF('Simulasi Premi 1 (Personal)'!$E$38="Menurun",'Spek Produk'!AP95,'Spek Produk'!AP153)</f>
        <v>0</v>
      </c>
    </row>
    <row r="38" spans="2:59" x14ac:dyDescent="0.35">
      <c r="L38" s="24">
        <f t="shared" si="0"/>
        <v>50</v>
      </c>
      <c r="M38" s="26">
        <f>IF('Simulasi Premi 1 (Personal)'!$E$38="Menurun",'Spek Produk'!M96,'Spek Produk'!M154)</f>
        <v>4.82</v>
      </c>
      <c r="N38" s="26">
        <f>IF('Simulasi Premi 1 (Personal)'!$E$38="Menurun",'Spek Produk'!N96,'Spek Produk'!N154)</f>
        <v>9.92</v>
      </c>
      <c r="O38" s="26">
        <f>IF('Simulasi Premi 1 (Personal)'!$E$38="Menurun",'Spek Produk'!O96,'Spek Produk'!O154)</f>
        <v>15.74</v>
      </c>
      <c r="P38" s="26">
        <f>IF('Simulasi Premi 1 (Personal)'!$E$38="Menurun",'Spek Produk'!P96,'Spek Produk'!P154)</f>
        <v>22.18</v>
      </c>
      <c r="Q38" s="26">
        <f>IF('Simulasi Premi 1 (Personal)'!$E$38="Menurun",'Spek Produk'!Q96,'Spek Produk'!Q154)</f>
        <v>29.15</v>
      </c>
      <c r="R38" s="26">
        <f>IF('Simulasi Premi 1 (Personal)'!$E$38="Menurun",'Spek Produk'!R96,'Spek Produk'!R154)</f>
        <v>36.53</v>
      </c>
      <c r="S38" s="26">
        <f>IF('Simulasi Premi 1 (Personal)'!$E$38="Menurun",'Spek Produk'!S96,'Spek Produk'!S154)</f>
        <v>44.28</v>
      </c>
      <c r="T38" s="26">
        <f>IF('Simulasi Premi 1 (Personal)'!$E$38="Menurun",'Spek Produk'!T96,'Spek Produk'!T154)</f>
        <v>52.32</v>
      </c>
      <c r="U38" s="26">
        <f>IF('Simulasi Premi 1 (Personal)'!$E$38="Menurun",'Spek Produk'!U96,'Spek Produk'!U154)</f>
        <v>60.58</v>
      </c>
      <c r="V38" s="26">
        <f>IF('Simulasi Premi 1 (Personal)'!$E$38="Menurun",'Spek Produk'!V96,'Spek Produk'!V154)</f>
        <v>69</v>
      </c>
      <c r="W38" s="26">
        <f>IF('Simulasi Premi 1 (Personal)'!$E$38="Menurun",'Spek Produk'!W96,'Spek Produk'!W154)</f>
        <v>77.510000000000005</v>
      </c>
      <c r="X38" s="26">
        <f>IF('Simulasi Premi 1 (Personal)'!$E$38="Menurun",'Spek Produk'!X96,'Spek Produk'!X154)</f>
        <v>86.07</v>
      </c>
      <c r="Y38" s="26">
        <f>IF('Simulasi Premi 1 (Personal)'!$E$38="Menurun",'Spek Produk'!Y96,'Spek Produk'!Y154)</f>
        <v>94.6</v>
      </c>
      <c r="Z38" s="26">
        <f>IF('Simulasi Premi 1 (Personal)'!$E$38="Menurun",'Spek Produk'!Z96,'Spek Produk'!Z154)</f>
        <v>103.04</v>
      </c>
      <c r="AA38" s="26">
        <f>IF('Simulasi Premi 1 (Personal)'!$E$38="Menurun",'Spek Produk'!AA96,'Spek Produk'!AA154)</f>
        <v>111.36</v>
      </c>
      <c r="AB38" s="26">
        <f>IF('Simulasi Premi 1 (Personal)'!$E$38="Menurun",'Spek Produk'!AB96,'Spek Produk'!AB154)</f>
        <v>0</v>
      </c>
      <c r="AC38" s="26">
        <f>IF('Simulasi Premi 1 (Personal)'!$E$38="Menurun",'Spek Produk'!AC96,'Spek Produk'!AC154)</f>
        <v>0</v>
      </c>
      <c r="AD38" s="26">
        <f>IF('Simulasi Premi 1 (Personal)'!$E$38="Menurun",'Spek Produk'!AD96,'Spek Produk'!AD154)</f>
        <v>0</v>
      </c>
      <c r="AE38" s="26">
        <f>IF('Simulasi Premi 1 (Personal)'!$E$38="Menurun",'Spek Produk'!AE96,'Spek Produk'!AE154)</f>
        <v>0</v>
      </c>
      <c r="AF38" s="26">
        <f>IF('Simulasi Premi 1 (Personal)'!$E$38="Menurun",'Spek Produk'!AF96,'Spek Produk'!AF154)</f>
        <v>0</v>
      </c>
      <c r="AG38" s="26">
        <f>IF('Simulasi Premi 1 (Personal)'!$E$38="Menurun",'Spek Produk'!AG96,'Spek Produk'!AG154)</f>
        <v>0</v>
      </c>
      <c r="AH38" s="26">
        <f>IF('Simulasi Premi 1 (Personal)'!$E$38="Menurun",'Spek Produk'!AH96,'Spek Produk'!AH154)</f>
        <v>0</v>
      </c>
      <c r="AI38" s="26">
        <f>IF('Simulasi Premi 1 (Personal)'!$E$38="Menurun",'Spek Produk'!AI96,'Spek Produk'!AI154)</f>
        <v>0</v>
      </c>
      <c r="AJ38" s="26">
        <f>IF('Simulasi Premi 1 (Personal)'!$E$38="Menurun",'Spek Produk'!AJ96,'Spek Produk'!AJ154)</f>
        <v>0</v>
      </c>
      <c r="AK38" s="26">
        <f>IF('Simulasi Premi 1 (Personal)'!$E$38="Menurun",'Spek Produk'!AK96,'Spek Produk'!AK154)</f>
        <v>0</v>
      </c>
      <c r="AL38" s="26">
        <f>IF('Simulasi Premi 1 (Personal)'!$E$38="Menurun",'Spek Produk'!AL96,'Spek Produk'!AL154)</f>
        <v>0</v>
      </c>
      <c r="AM38" s="26">
        <f>IF('Simulasi Premi 1 (Personal)'!$E$38="Menurun",'Spek Produk'!AM96,'Spek Produk'!AM154)</f>
        <v>0</v>
      </c>
      <c r="AN38" s="26">
        <f>IF('Simulasi Premi 1 (Personal)'!$E$38="Menurun",'Spek Produk'!AN96,'Spek Produk'!AN154)</f>
        <v>0</v>
      </c>
      <c r="AO38" s="26">
        <f>IF('Simulasi Premi 1 (Personal)'!$E$38="Menurun",'Spek Produk'!AO96,'Spek Produk'!AO154)</f>
        <v>0</v>
      </c>
      <c r="AP38" s="26">
        <f>IF('Simulasi Premi 1 (Personal)'!$E$38="Menurun",'Spek Produk'!AP96,'Spek Produk'!AP154)</f>
        <v>0</v>
      </c>
      <c r="AR38" t="s">
        <v>96</v>
      </c>
    </row>
    <row r="39" spans="2:59" x14ac:dyDescent="0.35">
      <c r="L39" s="24">
        <f t="shared" si="0"/>
        <v>51</v>
      </c>
      <c r="M39" s="26">
        <f>IF('Simulasi Premi 1 (Personal)'!$E$38="Menurun",'Spek Produk'!M97,'Spek Produk'!M155)</f>
        <v>4.82</v>
      </c>
      <c r="N39" s="26">
        <f>IF('Simulasi Premi 1 (Personal)'!$E$38="Menurun",'Spek Produk'!N97,'Spek Produk'!N155)</f>
        <v>9.92</v>
      </c>
      <c r="O39" s="26">
        <f>IF('Simulasi Premi 1 (Personal)'!$E$38="Menurun",'Spek Produk'!O97,'Spek Produk'!O155)</f>
        <v>15.74</v>
      </c>
      <c r="P39" s="26">
        <f>IF('Simulasi Premi 1 (Personal)'!$E$38="Menurun",'Spek Produk'!P97,'Spek Produk'!P155)</f>
        <v>22.18</v>
      </c>
      <c r="Q39" s="26">
        <f>IF('Simulasi Premi 1 (Personal)'!$E$38="Menurun",'Spek Produk'!Q97,'Spek Produk'!Q155)</f>
        <v>29.15</v>
      </c>
      <c r="R39" s="26">
        <f>IF('Simulasi Premi 1 (Personal)'!$E$38="Menurun",'Spek Produk'!R97,'Spek Produk'!R155)</f>
        <v>36.53</v>
      </c>
      <c r="S39" s="26">
        <f>IF('Simulasi Premi 1 (Personal)'!$E$38="Menurun",'Spek Produk'!S97,'Spek Produk'!S155)</f>
        <v>44.28</v>
      </c>
      <c r="T39" s="26">
        <f>IF('Simulasi Premi 1 (Personal)'!$E$38="Menurun",'Spek Produk'!T97,'Spek Produk'!T155)</f>
        <v>52.32</v>
      </c>
      <c r="U39" s="26">
        <f>IF('Simulasi Premi 1 (Personal)'!$E$38="Menurun",'Spek Produk'!U97,'Spek Produk'!U155)</f>
        <v>60.58</v>
      </c>
      <c r="V39" s="26">
        <f>IF('Simulasi Premi 1 (Personal)'!$E$38="Menurun",'Spek Produk'!V97,'Spek Produk'!V155)</f>
        <v>69</v>
      </c>
      <c r="W39" s="26">
        <f>IF('Simulasi Premi 1 (Personal)'!$E$38="Menurun",'Spek Produk'!W97,'Spek Produk'!W155)</f>
        <v>77.510000000000005</v>
      </c>
      <c r="X39" s="26">
        <f>IF('Simulasi Premi 1 (Personal)'!$E$38="Menurun",'Spek Produk'!X97,'Spek Produk'!X155)</f>
        <v>86.07</v>
      </c>
      <c r="Y39" s="26">
        <f>IF('Simulasi Premi 1 (Personal)'!$E$38="Menurun",'Spek Produk'!Y97,'Spek Produk'!Y155)</f>
        <v>94.6</v>
      </c>
      <c r="Z39" s="26">
        <f>IF('Simulasi Premi 1 (Personal)'!$E$38="Menurun",'Spek Produk'!Z97,'Spek Produk'!Z155)</f>
        <v>103.04</v>
      </c>
      <c r="AA39" s="26">
        <f>IF('Simulasi Premi 1 (Personal)'!$E$38="Menurun",'Spek Produk'!AA97,'Spek Produk'!AA155)</f>
        <v>111.36</v>
      </c>
      <c r="AB39" s="26">
        <f>IF('Simulasi Premi 1 (Personal)'!$E$38="Menurun",'Spek Produk'!AB97,'Spek Produk'!AB155)</f>
        <v>0</v>
      </c>
      <c r="AC39" s="26">
        <f>IF('Simulasi Premi 1 (Personal)'!$E$38="Menurun",'Spek Produk'!AC97,'Spek Produk'!AC155)</f>
        <v>0</v>
      </c>
      <c r="AD39" s="26">
        <f>IF('Simulasi Premi 1 (Personal)'!$E$38="Menurun",'Spek Produk'!AD97,'Spek Produk'!AD155)</f>
        <v>0</v>
      </c>
      <c r="AE39" s="26">
        <f>IF('Simulasi Premi 1 (Personal)'!$E$38="Menurun",'Spek Produk'!AE97,'Spek Produk'!AE155)</f>
        <v>0</v>
      </c>
      <c r="AF39" s="26">
        <f>IF('Simulasi Premi 1 (Personal)'!$E$38="Menurun",'Spek Produk'!AF97,'Spek Produk'!AF155)</f>
        <v>0</v>
      </c>
      <c r="AG39" s="26">
        <f>IF('Simulasi Premi 1 (Personal)'!$E$38="Menurun",'Spek Produk'!AG97,'Spek Produk'!AG155)</f>
        <v>0</v>
      </c>
      <c r="AH39" s="26">
        <f>IF('Simulasi Premi 1 (Personal)'!$E$38="Menurun",'Spek Produk'!AH97,'Spek Produk'!AH155)</f>
        <v>0</v>
      </c>
      <c r="AI39" s="26">
        <f>IF('Simulasi Premi 1 (Personal)'!$E$38="Menurun",'Spek Produk'!AI97,'Spek Produk'!AI155)</f>
        <v>0</v>
      </c>
      <c r="AJ39" s="26">
        <f>IF('Simulasi Premi 1 (Personal)'!$E$38="Menurun",'Spek Produk'!AJ97,'Spek Produk'!AJ155)</f>
        <v>0</v>
      </c>
      <c r="AK39" s="26">
        <f>IF('Simulasi Premi 1 (Personal)'!$E$38="Menurun",'Spek Produk'!AK97,'Spek Produk'!AK155)</f>
        <v>0</v>
      </c>
      <c r="AL39" s="26">
        <f>IF('Simulasi Premi 1 (Personal)'!$E$38="Menurun",'Spek Produk'!AL97,'Spek Produk'!AL155)</f>
        <v>0</v>
      </c>
      <c r="AM39" s="26">
        <f>IF('Simulasi Premi 1 (Personal)'!$E$38="Menurun",'Spek Produk'!AM97,'Spek Produk'!AM155)</f>
        <v>0</v>
      </c>
      <c r="AN39" s="26">
        <f>IF('Simulasi Premi 1 (Personal)'!$E$38="Menurun",'Spek Produk'!AN97,'Spek Produk'!AN155)</f>
        <v>0</v>
      </c>
      <c r="AO39" s="26">
        <f>IF('Simulasi Premi 1 (Personal)'!$E$38="Menurun",'Spek Produk'!AO97,'Spek Produk'!AO155)</f>
        <v>0</v>
      </c>
      <c r="AP39" s="26">
        <f>IF('Simulasi Premi 1 (Personal)'!$E$38="Menurun",'Spek Produk'!AP97,'Spek Produk'!AP155)</f>
        <v>0</v>
      </c>
      <c r="AR39" t="s">
        <v>94</v>
      </c>
      <c r="AS39" t="b">
        <v>1</v>
      </c>
      <c r="AT39" t="str">
        <f>IF(AS39=TRUE,"Menurun","")</f>
        <v>Menurun</v>
      </c>
      <c r="AU39" t="str">
        <f>IF(AS39=TRUE,"Menurun","Tetap")</f>
        <v>Menurun</v>
      </c>
    </row>
    <row r="40" spans="2:59" x14ac:dyDescent="0.35">
      <c r="L40" s="24">
        <f t="shared" si="0"/>
        <v>52</v>
      </c>
      <c r="M40" s="26">
        <f>IF('Simulasi Premi 1 (Personal)'!$E$38="Menurun",'Spek Produk'!M98,'Spek Produk'!M156)</f>
        <v>4.82</v>
      </c>
      <c r="N40" s="26">
        <f>IF('Simulasi Premi 1 (Personal)'!$E$38="Menurun",'Spek Produk'!N98,'Spek Produk'!N156)</f>
        <v>9.92</v>
      </c>
      <c r="O40" s="26">
        <f>IF('Simulasi Premi 1 (Personal)'!$E$38="Menurun",'Spek Produk'!O98,'Spek Produk'!O156)</f>
        <v>15.74</v>
      </c>
      <c r="P40" s="26">
        <f>IF('Simulasi Premi 1 (Personal)'!$E$38="Menurun",'Spek Produk'!P98,'Spek Produk'!P156)</f>
        <v>22.18</v>
      </c>
      <c r="Q40" s="26">
        <f>IF('Simulasi Premi 1 (Personal)'!$E$38="Menurun",'Spek Produk'!Q98,'Spek Produk'!Q156)</f>
        <v>29.15</v>
      </c>
      <c r="R40" s="26">
        <f>IF('Simulasi Premi 1 (Personal)'!$E$38="Menurun",'Spek Produk'!R98,'Spek Produk'!R156)</f>
        <v>36.53</v>
      </c>
      <c r="S40" s="26">
        <f>IF('Simulasi Premi 1 (Personal)'!$E$38="Menurun",'Spek Produk'!S98,'Spek Produk'!S156)</f>
        <v>44.28</v>
      </c>
      <c r="T40" s="26">
        <f>IF('Simulasi Premi 1 (Personal)'!$E$38="Menurun",'Spek Produk'!T98,'Spek Produk'!T156)</f>
        <v>52.32</v>
      </c>
      <c r="U40" s="26">
        <f>IF('Simulasi Premi 1 (Personal)'!$E$38="Menurun",'Spek Produk'!U98,'Spek Produk'!U156)</f>
        <v>60.58</v>
      </c>
      <c r="V40" s="26">
        <f>IF('Simulasi Premi 1 (Personal)'!$E$38="Menurun",'Spek Produk'!V98,'Spek Produk'!V156)</f>
        <v>69</v>
      </c>
      <c r="W40" s="26">
        <f>IF('Simulasi Premi 1 (Personal)'!$E$38="Menurun",'Spek Produk'!W98,'Spek Produk'!W156)</f>
        <v>77.510000000000005</v>
      </c>
      <c r="X40" s="26">
        <f>IF('Simulasi Premi 1 (Personal)'!$E$38="Menurun",'Spek Produk'!X98,'Spek Produk'!X156)</f>
        <v>86.07</v>
      </c>
      <c r="Y40" s="26">
        <f>IF('Simulasi Premi 1 (Personal)'!$E$38="Menurun",'Spek Produk'!Y98,'Spek Produk'!Y156)</f>
        <v>94.6</v>
      </c>
      <c r="Z40" s="26">
        <f>IF('Simulasi Premi 1 (Personal)'!$E$38="Menurun",'Spek Produk'!Z98,'Spek Produk'!Z156)</f>
        <v>103.04</v>
      </c>
      <c r="AA40" s="26">
        <f>IF('Simulasi Premi 1 (Personal)'!$E$38="Menurun",'Spek Produk'!AA98,'Spek Produk'!AA156)</f>
        <v>111.36</v>
      </c>
      <c r="AB40" s="26">
        <f>IF('Simulasi Premi 1 (Personal)'!$E$38="Menurun",'Spek Produk'!AB98,'Spek Produk'!AB156)</f>
        <v>0</v>
      </c>
      <c r="AC40" s="26">
        <f>IF('Simulasi Premi 1 (Personal)'!$E$38="Menurun",'Spek Produk'!AC98,'Spek Produk'!AC156)</f>
        <v>0</v>
      </c>
      <c r="AD40" s="26">
        <f>IF('Simulasi Premi 1 (Personal)'!$E$38="Menurun",'Spek Produk'!AD98,'Spek Produk'!AD156)</f>
        <v>0</v>
      </c>
      <c r="AE40" s="26">
        <f>IF('Simulasi Premi 1 (Personal)'!$E$38="Menurun",'Spek Produk'!AE98,'Spek Produk'!AE156)</f>
        <v>0</v>
      </c>
      <c r="AF40" s="26">
        <f>IF('Simulasi Premi 1 (Personal)'!$E$38="Menurun",'Spek Produk'!AF98,'Spek Produk'!AF156)</f>
        <v>0</v>
      </c>
      <c r="AG40" s="26">
        <f>IF('Simulasi Premi 1 (Personal)'!$E$38="Menurun",'Spek Produk'!AG98,'Spek Produk'!AG156)</f>
        <v>0</v>
      </c>
      <c r="AH40" s="26">
        <f>IF('Simulasi Premi 1 (Personal)'!$E$38="Menurun",'Spek Produk'!AH98,'Spek Produk'!AH156)</f>
        <v>0</v>
      </c>
      <c r="AI40" s="26">
        <f>IF('Simulasi Premi 1 (Personal)'!$E$38="Menurun",'Spek Produk'!AI98,'Spek Produk'!AI156)</f>
        <v>0</v>
      </c>
      <c r="AJ40" s="26">
        <f>IF('Simulasi Premi 1 (Personal)'!$E$38="Menurun",'Spek Produk'!AJ98,'Spek Produk'!AJ156)</f>
        <v>0</v>
      </c>
      <c r="AK40" s="26">
        <f>IF('Simulasi Premi 1 (Personal)'!$E$38="Menurun",'Spek Produk'!AK98,'Spek Produk'!AK156)</f>
        <v>0</v>
      </c>
      <c r="AL40" s="26">
        <f>IF('Simulasi Premi 1 (Personal)'!$E$38="Menurun",'Spek Produk'!AL98,'Spek Produk'!AL156)</f>
        <v>0</v>
      </c>
      <c r="AM40" s="26">
        <f>IF('Simulasi Premi 1 (Personal)'!$E$38="Menurun",'Spek Produk'!AM98,'Spek Produk'!AM156)</f>
        <v>0</v>
      </c>
      <c r="AN40" s="26">
        <f>IF('Simulasi Premi 1 (Personal)'!$E$38="Menurun",'Spek Produk'!AN98,'Spek Produk'!AN156)</f>
        <v>0</v>
      </c>
      <c r="AO40" s="26">
        <f>IF('Simulasi Premi 1 (Personal)'!$E$38="Menurun",'Spek Produk'!AO98,'Spek Produk'!AO156)</f>
        <v>0</v>
      </c>
      <c r="AP40" s="26">
        <f>IF('Simulasi Premi 1 (Personal)'!$E$38="Menurun",'Spek Produk'!AP98,'Spek Produk'!AP156)</f>
        <v>0</v>
      </c>
      <c r="AR40" t="s">
        <v>95</v>
      </c>
      <c r="AS40" t="b">
        <v>0</v>
      </c>
      <c r="AT40" t="str">
        <f>IF(AS40=TRUE,"Tetap","")</f>
        <v/>
      </c>
    </row>
    <row r="41" spans="2:59" x14ac:dyDescent="0.35">
      <c r="L41" s="24">
        <f t="shared" si="0"/>
        <v>53</v>
      </c>
      <c r="M41" s="26">
        <f>IF('Simulasi Premi 1 (Personal)'!$E$38="Menurun",'Spek Produk'!M99,'Spek Produk'!M157)</f>
        <v>4.82</v>
      </c>
      <c r="N41" s="26">
        <f>IF('Simulasi Premi 1 (Personal)'!$E$38="Menurun",'Spek Produk'!N99,'Spek Produk'!N157)</f>
        <v>9.92</v>
      </c>
      <c r="O41" s="26">
        <f>IF('Simulasi Premi 1 (Personal)'!$E$38="Menurun",'Spek Produk'!O99,'Spek Produk'!O157)</f>
        <v>15.74</v>
      </c>
      <c r="P41" s="26">
        <f>IF('Simulasi Premi 1 (Personal)'!$E$38="Menurun",'Spek Produk'!P99,'Spek Produk'!P157)</f>
        <v>22.18</v>
      </c>
      <c r="Q41" s="26">
        <f>IF('Simulasi Premi 1 (Personal)'!$E$38="Menurun",'Spek Produk'!Q99,'Spek Produk'!Q157)</f>
        <v>29.15</v>
      </c>
      <c r="R41" s="26">
        <f>IF('Simulasi Premi 1 (Personal)'!$E$38="Menurun",'Spek Produk'!R99,'Spek Produk'!R157)</f>
        <v>36.53</v>
      </c>
      <c r="S41" s="26">
        <f>IF('Simulasi Premi 1 (Personal)'!$E$38="Menurun",'Spek Produk'!S99,'Spek Produk'!S157)</f>
        <v>44.28</v>
      </c>
      <c r="T41" s="26">
        <f>IF('Simulasi Premi 1 (Personal)'!$E$38="Menurun",'Spek Produk'!T99,'Spek Produk'!T157)</f>
        <v>52.32</v>
      </c>
      <c r="U41" s="26">
        <f>IF('Simulasi Premi 1 (Personal)'!$E$38="Menurun",'Spek Produk'!U99,'Spek Produk'!U157)</f>
        <v>60.58</v>
      </c>
      <c r="V41" s="26">
        <f>IF('Simulasi Premi 1 (Personal)'!$E$38="Menurun",'Spek Produk'!V99,'Spek Produk'!V157)</f>
        <v>69</v>
      </c>
      <c r="W41" s="26">
        <f>IF('Simulasi Premi 1 (Personal)'!$E$38="Menurun",'Spek Produk'!W99,'Spek Produk'!W157)</f>
        <v>77.510000000000005</v>
      </c>
      <c r="X41" s="26">
        <f>IF('Simulasi Premi 1 (Personal)'!$E$38="Menurun",'Spek Produk'!X99,'Spek Produk'!X157)</f>
        <v>86.07</v>
      </c>
      <c r="Y41" s="26">
        <f>IF('Simulasi Premi 1 (Personal)'!$E$38="Menurun",'Spek Produk'!Y99,'Spek Produk'!Y157)</f>
        <v>94.6</v>
      </c>
      <c r="Z41" s="26">
        <f>IF('Simulasi Premi 1 (Personal)'!$E$38="Menurun",'Spek Produk'!Z99,'Spek Produk'!Z157)</f>
        <v>103.04</v>
      </c>
      <c r="AA41" s="26">
        <f>IF('Simulasi Premi 1 (Personal)'!$E$38="Menurun",'Spek Produk'!AA99,'Spek Produk'!AA157)</f>
        <v>111.36</v>
      </c>
      <c r="AB41" s="26">
        <f>IF('Simulasi Premi 1 (Personal)'!$E$38="Menurun",'Spek Produk'!AB99,'Spek Produk'!AB157)</f>
        <v>0</v>
      </c>
      <c r="AC41" s="26">
        <f>IF('Simulasi Premi 1 (Personal)'!$E$38="Menurun",'Spek Produk'!AC99,'Spek Produk'!AC157)</f>
        <v>0</v>
      </c>
      <c r="AD41" s="26">
        <f>IF('Simulasi Premi 1 (Personal)'!$E$38="Menurun",'Spek Produk'!AD99,'Spek Produk'!AD157)</f>
        <v>0</v>
      </c>
      <c r="AE41" s="26">
        <f>IF('Simulasi Premi 1 (Personal)'!$E$38="Menurun",'Spek Produk'!AE99,'Spek Produk'!AE157)</f>
        <v>0</v>
      </c>
      <c r="AF41" s="26">
        <f>IF('Simulasi Premi 1 (Personal)'!$E$38="Menurun",'Spek Produk'!AF99,'Spek Produk'!AF157)</f>
        <v>0</v>
      </c>
      <c r="AG41" s="26">
        <f>IF('Simulasi Premi 1 (Personal)'!$E$38="Menurun",'Spek Produk'!AG99,'Spek Produk'!AG157)</f>
        <v>0</v>
      </c>
      <c r="AH41" s="26">
        <f>IF('Simulasi Premi 1 (Personal)'!$E$38="Menurun",'Spek Produk'!AH99,'Spek Produk'!AH157)</f>
        <v>0</v>
      </c>
      <c r="AI41" s="26">
        <f>IF('Simulasi Premi 1 (Personal)'!$E$38="Menurun",'Spek Produk'!AI99,'Spek Produk'!AI157)</f>
        <v>0</v>
      </c>
      <c r="AJ41" s="26">
        <f>IF('Simulasi Premi 1 (Personal)'!$E$38="Menurun",'Spek Produk'!AJ99,'Spek Produk'!AJ157)</f>
        <v>0</v>
      </c>
      <c r="AK41" s="26">
        <f>IF('Simulasi Premi 1 (Personal)'!$E$38="Menurun",'Spek Produk'!AK99,'Spek Produk'!AK157)</f>
        <v>0</v>
      </c>
      <c r="AL41" s="26">
        <f>IF('Simulasi Premi 1 (Personal)'!$E$38="Menurun",'Spek Produk'!AL99,'Spek Produk'!AL157)</f>
        <v>0</v>
      </c>
      <c r="AM41" s="26">
        <f>IF('Simulasi Premi 1 (Personal)'!$E$38="Menurun",'Spek Produk'!AM99,'Spek Produk'!AM157)</f>
        <v>0</v>
      </c>
      <c r="AN41" s="26">
        <f>IF('Simulasi Premi 1 (Personal)'!$E$38="Menurun",'Spek Produk'!AN99,'Spek Produk'!AN157)</f>
        <v>0</v>
      </c>
      <c r="AO41" s="26">
        <f>IF('Simulasi Premi 1 (Personal)'!$E$38="Menurun",'Spek Produk'!AO99,'Spek Produk'!AO157)</f>
        <v>0</v>
      </c>
      <c r="AP41" s="26">
        <f>IF('Simulasi Premi 1 (Personal)'!$E$38="Menurun",'Spek Produk'!AP99,'Spek Produk'!AP157)</f>
        <v>0</v>
      </c>
    </row>
    <row r="42" spans="2:59" x14ac:dyDescent="0.35">
      <c r="L42" s="24">
        <f t="shared" si="0"/>
        <v>54</v>
      </c>
      <c r="M42" s="26">
        <f>IF('Simulasi Premi 1 (Personal)'!$E$38="Menurun",'Spek Produk'!M100,'Spek Produk'!M158)</f>
        <v>4.82</v>
      </c>
      <c r="N42" s="26">
        <f>IF('Simulasi Premi 1 (Personal)'!$E$38="Menurun",'Spek Produk'!N100,'Spek Produk'!N158)</f>
        <v>9.92</v>
      </c>
      <c r="O42" s="26">
        <f>IF('Simulasi Premi 1 (Personal)'!$E$38="Menurun",'Spek Produk'!O100,'Spek Produk'!O158)</f>
        <v>15.74</v>
      </c>
      <c r="P42" s="26">
        <f>IF('Simulasi Premi 1 (Personal)'!$E$38="Menurun",'Spek Produk'!P100,'Spek Produk'!P158)</f>
        <v>22.18</v>
      </c>
      <c r="Q42" s="26">
        <f>IF('Simulasi Premi 1 (Personal)'!$E$38="Menurun",'Spek Produk'!Q100,'Spek Produk'!Q158)</f>
        <v>29.15</v>
      </c>
      <c r="R42" s="26">
        <f>IF('Simulasi Premi 1 (Personal)'!$E$38="Menurun",'Spek Produk'!R100,'Spek Produk'!R158)</f>
        <v>36.53</v>
      </c>
      <c r="S42" s="26">
        <f>IF('Simulasi Premi 1 (Personal)'!$E$38="Menurun",'Spek Produk'!S100,'Spek Produk'!S158)</f>
        <v>44.28</v>
      </c>
      <c r="T42" s="26">
        <f>IF('Simulasi Premi 1 (Personal)'!$E$38="Menurun",'Spek Produk'!T100,'Spek Produk'!T158)</f>
        <v>52.32</v>
      </c>
      <c r="U42" s="26">
        <f>IF('Simulasi Premi 1 (Personal)'!$E$38="Menurun",'Spek Produk'!U100,'Spek Produk'!U158)</f>
        <v>60.58</v>
      </c>
      <c r="V42" s="26">
        <f>IF('Simulasi Premi 1 (Personal)'!$E$38="Menurun",'Spek Produk'!V100,'Spek Produk'!V158)</f>
        <v>69</v>
      </c>
      <c r="W42" s="26">
        <f>IF('Simulasi Premi 1 (Personal)'!$E$38="Menurun",'Spek Produk'!W100,'Spek Produk'!W158)</f>
        <v>77.510000000000005</v>
      </c>
      <c r="X42" s="26">
        <f>IF('Simulasi Premi 1 (Personal)'!$E$38="Menurun",'Spek Produk'!X100,'Spek Produk'!X158)</f>
        <v>86.07</v>
      </c>
      <c r="Y42" s="26">
        <f>IF('Simulasi Premi 1 (Personal)'!$E$38="Menurun",'Spek Produk'!Y100,'Spek Produk'!Y158)</f>
        <v>94.6</v>
      </c>
      <c r="Z42" s="26">
        <f>IF('Simulasi Premi 1 (Personal)'!$E$38="Menurun",'Spek Produk'!Z100,'Spek Produk'!Z158)</f>
        <v>103.04</v>
      </c>
      <c r="AA42" s="26">
        <f>IF('Simulasi Premi 1 (Personal)'!$E$38="Menurun",'Spek Produk'!AA100,'Spek Produk'!AA158)</f>
        <v>111.36</v>
      </c>
      <c r="AB42" s="26">
        <f>IF('Simulasi Premi 1 (Personal)'!$E$38="Menurun",'Spek Produk'!AB100,'Spek Produk'!AB158)</f>
        <v>0</v>
      </c>
      <c r="AC42" s="26">
        <f>IF('Simulasi Premi 1 (Personal)'!$E$38="Menurun",'Spek Produk'!AC100,'Spek Produk'!AC158)</f>
        <v>0</v>
      </c>
      <c r="AD42" s="26">
        <f>IF('Simulasi Premi 1 (Personal)'!$E$38="Menurun",'Spek Produk'!AD100,'Spek Produk'!AD158)</f>
        <v>0</v>
      </c>
      <c r="AE42" s="26">
        <f>IF('Simulasi Premi 1 (Personal)'!$E$38="Menurun",'Spek Produk'!AE100,'Spek Produk'!AE158)</f>
        <v>0</v>
      </c>
      <c r="AF42" s="26">
        <f>IF('Simulasi Premi 1 (Personal)'!$E$38="Menurun",'Spek Produk'!AF100,'Spek Produk'!AF158)</f>
        <v>0</v>
      </c>
      <c r="AG42" s="26">
        <f>IF('Simulasi Premi 1 (Personal)'!$E$38="Menurun",'Spek Produk'!AG100,'Spek Produk'!AG158)</f>
        <v>0</v>
      </c>
      <c r="AH42" s="26">
        <f>IF('Simulasi Premi 1 (Personal)'!$E$38="Menurun",'Spek Produk'!AH100,'Spek Produk'!AH158)</f>
        <v>0</v>
      </c>
      <c r="AI42" s="26">
        <f>IF('Simulasi Premi 1 (Personal)'!$E$38="Menurun",'Spek Produk'!AI100,'Spek Produk'!AI158)</f>
        <v>0</v>
      </c>
      <c r="AJ42" s="26">
        <f>IF('Simulasi Premi 1 (Personal)'!$E$38="Menurun",'Spek Produk'!AJ100,'Spek Produk'!AJ158)</f>
        <v>0</v>
      </c>
      <c r="AK42" s="26">
        <f>IF('Simulasi Premi 1 (Personal)'!$E$38="Menurun",'Spek Produk'!AK100,'Spek Produk'!AK158)</f>
        <v>0</v>
      </c>
      <c r="AL42" s="26">
        <f>IF('Simulasi Premi 1 (Personal)'!$E$38="Menurun",'Spek Produk'!AL100,'Spek Produk'!AL158)</f>
        <v>0</v>
      </c>
      <c r="AM42" s="26">
        <f>IF('Simulasi Premi 1 (Personal)'!$E$38="Menurun",'Spek Produk'!AM100,'Spek Produk'!AM158)</f>
        <v>0</v>
      </c>
      <c r="AN42" s="26">
        <f>IF('Simulasi Premi 1 (Personal)'!$E$38="Menurun",'Spek Produk'!AN100,'Spek Produk'!AN158)</f>
        <v>0</v>
      </c>
      <c r="AO42" s="26">
        <f>IF('Simulasi Premi 1 (Personal)'!$E$38="Menurun",'Spek Produk'!AO100,'Spek Produk'!AO158)</f>
        <v>0</v>
      </c>
      <c r="AP42" s="26">
        <f>IF('Simulasi Premi 1 (Personal)'!$E$38="Menurun",'Spek Produk'!AP100,'Spek Produk'!AP158)</f>
        <v>0</v>
      </c>
      <c r="AR42" cm="1">
        <f t="array" ref="AR42:BG42">_xlfn.SEQUENCE(,I22-G22+1,G22,1)</f>
        <v>0</v>
      </c>
      <c r="AS42">
        <v>1</v>
      </c>
      <c r="AT42">
        <v>2</v>
      </c>
      <c r="AU42">
        <v>3</v>
      </c>
      <c r="AV42">
        <v>4</v>
      </c>
      <c r="AW42">
        <v>5</v>
      </c>
      <c r="AX42">
        <v>6</v>
      </c>
      <c r="AY42">
        <v>7</v>
      </c>
      <c r="AZ42">
        <v>8</v>
      </c>
      <c r="BA42">
        <v>9</v>
      </c>
      <c r="BB42">
        <v>10</v>
      </c>
      <c r="BC42">
        <v>11</v>
      </c>
      <c r="BD42">
        <v>12</v>
      </c>
      <c r="BE42">
        <v>13</v>
      </c>
      <c r="BF42">
        <v>14</v>
      </c>
      <c r="BG42">
        <v>15</v>
      </c>
    </row>
    <row r="43" spans="2:59" x14ac:dyDescent="0.35">
      <c r="L43" s="24">
        <f t="shared" si="0"/>
        <v>55</v>
      </c>
      <c r="M43" s="26">
        <f>IF('Simulasi Premi 1 (Personal)'!$E$38="Menurun",'Spek Produk'!M101,'Spek Produk'!M159)</f>
        <v>4.82</v>
      </c>
      <c r="N43" s="26">
        <f>IF('Simulasi Premi 1 (Personal)'!$E$38="Menurun",'Spek Produk'!N101,'Spek Produk'!N159)</f>
        <v>9.92</v>
      </c>
      <c r="O43" s="26">
        <f>IF('Simulasi Premi 1 (Personal)'!$E$38="Menurun",'Spek Produk'!O101,'Spek Produk'!O159)</f>
        <v>15.74</v>
      </c>
      <c r="P43" s="26">
        <f>IF('Simulasi Premi 1 (Personal)'!$E$38="Menurun",'Spek Produk'!P101,'Spek Produk'!P159)</f>
        <v>22.18</v>
      </c>
      <c r="Q43" s="26">
        <f>IF('Simulasi Premi 1 (Personal)'!$E$38="Menurun",'Spek Produk'!Q101,'Spek Produk'!Q159)</f>
        <v>29.15</v>
      </c>
      <c r="R43" s="26">
        <f>IF('Simulasi Premi 1 (Personal)'!$E$38="Menurun",'Spek Produk'!R101,'Spek Produk'!R159)</f>
        <v>36.53</v>
      </c>
      <c r="S43" s="26">
        <f>IF('Simulasi Premi 1 (Personal)'!$E$38="Menurun",'Spek Produk'!S101,'Spek Produk'!S159)</f>
        <v>44.28</v>
      </c>
      <c r="T43" s="26">
        <f>IF('Simulasi Premi 1 (Personal)'!$E$38="Menurun",'Spek Produk'!T101,'Spek Produk'!T159)</f>
        <v>52.32</v>
      </c>
      <c r="U43" s="26">
        <f>IF('Simulasi Premi 1 (Personal)'!$E$38="Menurun",'Spek Produk'!U101,'Spek Produk'!U159)</f>
        <v>60.58</v>
      </c>
      <c r="V43" s="26">
        <f>IF('Simulasi Premi 1 (Personal)'!$E$38="Menurun",'Spek Produk'!V101,'Spek Produk'!V159)</f>
        <v>69</v>
      </c>
      <c r="W43" s="26">
        <f>IF('Simulasi Premi 1 (Personal)'!$E$38="Menurun",'Spek Produk'!W101,'Spek Produk'!W159)</f>
        <v>77.510000000000005</v>
      </c>
      <c r="X43" s="26">
        <f>IF('Simulasi Premi 1 (Personal)'!$E$38="Menurun",'Spek Produk'!X101,'Spek Produk'!X159)</f>
        <v>86.07</v>
      </c>
      <c r="Y43" s="26">
        <f>IF('Simulasi Premi 1 (Personal)'!$E$38="Menurun",'Spek Produk'!Y101,'Spek Produk'!Y159)</f>
        <v>94.6</v>
      </c>
      <c r="Z43" s="26">
        <f>IF('Simulasi Premi 1 (Personal)'!$E$38="Menurun",'Spek Produk'!Z101,'Spek Produk'!Z159)</f>
        <v>103.04</v>
      </c>
      <c r="AA43" s="26">
        <f>IF('Simulasi Premi 1 (Personal)'!$E$38="Menurun",'Spek Produk'!AA101,'Spek Produk'!AA159)</f>
        <v>111.36</v>
      </c>
      <c r="AB43" s="26">
        <f>IF('Simulasi Premi 1 (Personal)'!$E$38="Menurun",'Spek Produk'!AB101,'Spek Produk'!AB159)</f>
        <v>0</v>
      </c>
      <c r="AC43" s="26">
        <f>IF('Simulasi Premi 1 (Personal)'!$E$38="Menurun",'Spek Produk'!AC101,'Spek Produk'!AC159)</f>
        <v>0</v>
      </c>
      <c r="AD43" s="26">
        <f>IF('Simulasi Premi 1 (Personal)'!$E$38="Menurun",'Spek Produk'!AD101,'Spek Produk'!AD159)</f>
        <v>0</v>
      </c>
      <c r="AE43" s="26">
        <f>IF('Simulasi Premi 1 (Personal)'!$E$38="Menurun",'Spek Produk'!AE101,'Spek Produk'!AE159)</f>
        <v>0</v>
      </c>
      <c r="AF43" s="26">
        <f>IF('Simulasi Premi 1 (Personal)'!$E$38="Menurun",'Spek Produk'!AF101,'Spek Produk'!AF159)</f>
        <v>0</v>
      </c>
      <c r="AG43" s="26">
        <f>IF('Simulasi Premi 1 (Personal)'!$E$38="Menurun",'Spek Produk'!AG101,'Spek Produk'!AG159)</f>
        <v>0</v>
      </c>
      <c r="AH43" s="26">
        <f>IF('Simulasi Premi 1 (Personal)'!$E$38="Menurun",'Spek Produk'!AH101,'Spek Produk'!AH159)</f>
        <v>0</v>
      </c>
      <c r="AI43" s="26">
        <f>IF('Simulasi Premi 1 (Personal)'!$E$38="Menurun",'Spek Produk'!AI101,'Spek Produk'!AI159)</f>
        <v>0</v>
      </c>
      <c r="AJ43" s="26">
        <f>IF('Simulasi Premi 1 (Personal)'!$E$38="Menurun",'Spek Produk'!AJ101,'Spek Produk'!AJ159)</f>
        <v>0</v>
      </c>
      <c r="AK43" s="26">
        <f>IF('Simulasi Premi 1 (Personal)'!$E$38="Menurun",'Spek Produk'!AK101,'Spek Produk'!AK159)</f>
        <v>0</v>
      </c>
      <c r="AL43" s="26">
        <f>IF('Simulasi Premi 1 (Personal)'!$E$38="Menurun",'Spek Produk'!AL101,'Spek Produk'!AL159)</f>
        <v>0</v>
      </c>
      <c r="AM43" s="26">
        <f>IF('Simulasi Premi 1 (Personal)'!$E$38="Menurun",'Spek Produk'!AM101,'Spek Produk'!AM159)</f>
        <v>0</v>
      </c>
      <c r="AN43" s="26">
        <f>IF('Simulasi Premi 1 (Personal)'!$E$38="Menurun",'Spek Produk'!AN101,'Spek Produk'!AN159)</f>
        <v>0</v>
      </c>
      <c r="AO43" s="26">
        <f>IF('Simulasi Premi 1 (Personal)'!$E$38="Menurun",'Spek Produk'!AO101,'Spek Produk'!AO159)</f>
        <v>0</v>
      </c>
      <c r="AP43" s="26">
        <f>IF('Simulasi Premi 1 (Personal)'!$E$38="Menurun",'Spek Produk'!AP101,'Spek Produk'!AP159)</f>
        <v>0</v>
      </c>
      <c r="AR43" cm="1">
        <f t="array" ref="AR43:BG43">_xlfn.SEQUENCE(,I34-G34+1,G34,1)</f>
        <v>0</v>
      </c>
      <c r="AS43">
        <v>1</v>
      </c>
      <c r="AT43">
        <v>2</v>
      </c>
      <c r="AU43">
        <v>3</v>
      </c>
      <c r="AV43">
        <v>4</v>
      </c>
      <c r="AW43">
        <v>5</v>
      </c>
      <c r="AX43">
        <v>6</v>
      </c>
      <c r="AY43">
        <v>7</v>
      </c>
      <c r="AZ43">
        <v>8</v>
      </c>
      <c r="BA43">
        <v>9</v>
      </c>
      <c r="BB43">
        <v>10</v>
      </c>
      <c r="BC43">
        <v>11</v>
      </c>
      <c r="BD43">
        <v>12</v>
      </c>
      <c r="BE43">
        <v>13</v>
      </c>
      <c r="BF43">
        <v>14</v>
      </c>
      <c r="BG43">
        <v>15</v>
      </c>
    </row>
    <row r="44" spans="2:59" x14ac:dyDescent="0.35">
      <c r="L44" s="24">
        <f t="shared" si="0"/>
        <v>56</v>
      </c>
      <c r="M44" s="26">
        <f>IF('Simulasi Premi 1 (Personal)'!$E$38="Menurun",'Spek Produk'!M102,'Spek Produk'!M160)</f>
        <v>4.82</v>
      </c>
      <c r="N44" s="26">
        <f>IF('Simulasi Premi 1 (Personal)'!$E$38="Menurun",'Spek Produk'!N102,'Spek Produk'!N160)</f>
        <v>9.92</v>
      </c>
      <c r="O44" s="26">
        <f>IF('Simulasi Premi 1 (Personal)'!$E$38="Menurun",'Spek Produk'!O102,'Spek Produk'!O160)</f>
        <v>15.74</v>
      </c>
      <c r="P44" s="26">
        <f>IF('Simulasi Premi 1 (Personal)'!$E$38="Menurun",'Spek Produk'!P102,'Spek Produk'!P160)</f>
        <v>22.18</v>
      </c>
      <c r="Q44" s="26">
        <f>IF('Simulasi Premi 1 (Personal)'!$E$38="Menurun",'Spek Produk'!Q102,'Spek Produk'!Q160)</f>
        <v>29.15</v>
      </c>
      <c r="R44" s="26">
        <f>IF('Simulasi Premi 1 (Personal)'!$E$38="Menurun",'Spek Produk'!R102,'Spek Produk'!R160)</f>
        <v>36.53</v>
      </c>
      <c r="S44" s="26">
        <f>IF('Simulasi Premi 1 (Personal)'!$E$38="Menurun",'Spek Produk'!S102,'Spek Produk'!S160)</f>
        <v>44.28</v>
      </c>
      <c r="T44" s="26">
        <f>IF('Simulasi Premi 1 (Personal)'!$E$38="Menurun",'Spek Produk'!T102,'Spek Produk'!T160)</f>
        <v>52.32</v>
      </c>
      <c r="U44" s="26">
        <f>IF('Simulasi Premi 1 (Personal)'!$E$38="Menurun",'Spek Produk'!U102,'Spek Produk'!U160)</f>
        <v>60.58</v>
      </c>
      <c r="V44" s="26">
        <f>IF('Simulasi Premi 1 (Personal)'!$E$38="Menurun",'Spek Produk'!V102,'Spek Produk'!V160)</f>
        <v>69</v>
      </c>
      <c r="W44" s="26">
        <f>IF('Simulasi Premi 1 (Personal)'!$E$38="Menurun",'Spek Produk'!W102,'Spek Produk'!W160)</f>
        <v>77.510000000000005</v>
      </c>
      <c r="X44" s="26">
        <f>IF('Simulasi Premi 1 (Personal)'!$E$38="Menurun",'Spek Produk'!X102,'Spek Produk'!X160)</f>
        <v>86.07</v>
      </c>
      <c r="Y44" s="26">
        <f>IF('Simulasi Premi 1 (Personal)'!$E$38="Menurun",'Spek Produk'!Y102,'Spek Produk'!Y160)</f>
        <v>94.6</v>
      </c>
      <c r="Z44" s="26">
        <f>IF('Simulasi Premi 1 (Personal)'!$E$38="Menurun",'Spek Produk'!Z102,'Spek Produk'!Z160)</f>
        <v>103.04</v>
      </c>
      <c r="AA44" s="26">
        <f>IF('Simulasi Premi 1 (Personal)'!$E$38="Menurun",'Spek Produk'!AA102,'Spek Produk'!AA160)</f>
        <v>111.36</v>
      </c>
      <c r="AB44" s="26">
        <f>IF('Simulasi Premi 1 (Personal)'!$E$38="Menurun",'Spek Produk'!AB102,'Spek Produk'!AB160)</f>
        <v>0</v>
      </c>
      <c r="AC44" s="26">
        <f>IF('Simulasi Premi 1 (Personal)'!$E$38="Menurun",'Spek Produk'!AC102,'Spek Produk'!AC160)</f>
        <v>0</v>
      </c>
      <c r="AD44" s="26">
        <f>IF('Simulasi Premi 1 (Personal)'!$E$38="Menurun",'Spek Produk'!AD102,'Spek Produk'!AD160)</f>
        <v>0</v>
      </c>
      <c r="AE44" s="26">
        <f>IF('Simulasi Premi 1 (Personal)'!$E$38="Menurun",'Spek Produk'!AE102,'Spek Produk'!AE160)</f>
        <v>0</v>
      </c>
      <c r="AF44" s="26">
        <f>IF('Simulasi Premi 1 (Personal)'!$E$38="Menurun",'Spek Produk'!AF102,'Spek Produk'!AF160)</f>
        <v>0</v>
      </c>
      <c r="AG44" s="26">
        <f>IF('Simulasi Premi 1 (Personal)'!$E$38="Menurun",'Spek Produk'!AG102,'Spek Produk'!AG160)</f>
        <v>0</v>
      </c>
      <c r="AH44" s="26">
        <f>IF('Simulasi Premi 1 (Personal)'!$E$38="Menurun",'Spek Produk'!AH102,'Spek Produk'!AH160)</f>
        <v>0</v>
      </c>
      <c r="AI44" s="26">
        <f>IF('Simulasi Premi 1 (Personal)'!$E$38="Menurun",'Spek Produk'!AI102,'Spek Produk'!AI160)</f>
        <v>0</v>
      </c>
      <c r="AJ44" s="26">
        <f>IF('Simulasi Premi 1 (Personal)'!$E$38="Menurun",'Spek Produk'!AJ102,'Spek Produk'!AJ160)</f>
        <v>0</v>
      </c>
      <c r="AK44" s="26">
        <f>IF('Simulasi Premi 1 (Personal)'!$E$38="Menurun",'Spek Produk'!AK102,'Spek Produk'!AK160)</f>
        <v>0</v>
      </c>
      <c r="AL44" s="26">
        <f>IF('Simulasi Premi 1 (Personal)'!$E$38="Menurun",'Spek Produk'!AL102,'Spek Produk'!AL160)</f>
        <v>0</v>
      </c>
      <c r="AM44" s="26">
        <f>IF('Simulasi Premi 1 (Personal)'!$E$38="Menurun",'Spek Produk'!AM102,'Spek Produk'!AM160)</f>
        <v>0</v>
      </c>
      <c r="AN44" s="26">
        <f>IF('Simulasi Premi 1 (Personal)'!$E$38="Menurun",'Spek Produk'!AN102,'Spek Produk'!AN160)</f>
        <v>0</v>
      </c>
      <c r="AO44" s="26">
        <f>IF('Simulasi Premi 1 (Personal)'!$E$38="Menurun",'Spek Produk'!AO102,'Spek Produk'!AO160)</f>
        <v>0</v>
      </c>
      <c r="AP44" s="26">
        <f>IF('Simulasi Premi 1 (Personal)'!$E$38="Menurun",'Spek Produk'!AP102,'Spek Produk'!AP160)</f>
        <v>0</v>
      </c>
    </row>
    <row r="45" spans="2:59" x14ac:dyDescent="0.35">
      <c r="L45" s="24">
        <f t="shared" si="0"/>
        <v>57</v>
      </c>
      <c r="M45" s="26">
        <f>IF('Simulasi Premi 1 (Personal)'!$E$38="Menurun",'Spek Produk'!M103,'Spek Produk'!M161)</f>
        <v>4.82</v>
      </c>
      <c r="N45" s="26">
        <f>IF('Simulasi Premi 1 (Personal)'!$E$38="Menurun",'Spek Produk'!N103,'Spek Produk'!N161)</f>
        <v>9.92</v>
      </c>
      <c r="O45" s="26">
        <f>IF('Simulasi Premi 1 (Personal)'!$E$38="Menurun",'Spek Produk'!O103,'Spek Produk'!O161)</f>
        <v>15.74</v>
      </c>
      <c r="P45" s="26">
        <f>IF('Simulasi Premi 1 (Personal)'!$E$38="Menurun",'Spek Produk'!P103,'Spek Produk'!P161)</f>
        <v>22.18</v>
      </c>
      <c r="Q45" s="26">
        <f>IF('Simulasi Premi 1 (Personal)'!$E$38="Menurun",'Spek Produk'!Q103,'Spek Produk'!Q161)</f>
        <v>29.15</v>
      </c>
      <c r="R45" s="26">
        <f>IF('Simulasi Premi 1 (Personal)'!$E$38="Menurun",'Spek Produk'!R103,'Spek Produk'!R161)</f>
        <v>36.53</v>
      </c>
      <c r="S45" s="26">
        <f>IF('Simulasi Premi 1 (Personal)'!$E$38="Menurun",'Spek Produk'!S103,'Spek Produk'!S161)</f>
        <v>44.28</v>
      </c>
      <c r="T45" s="26">
        <f>IF('Simulasi Premi 1 (Personal)'!$E$38="Menurun",'Spek Produk'!T103,'Spek Produk'!T161)</f>
        <v>52.32</v>
      </c>
      <c r="U45" s="26">
        <f>IF('Simulasi Premi 1 (Personal)'!$E$38="Menurun",'Spek Produk'!U103,'Spek Produk'!U161)</f>
        <v>60.58</v>
      </c>
      <c r="V45" s="26">
        <f>IF('Simulasi Premi 1 (Personal)'!$E$38="Menurun",'Spek Produk'!V103,'Spek Produk'!V161)</f>
        <v>69</v>
      </c>
      <c r="W45" s="26">
        <f>IF('Simulasi Premi 1 (Personal)'!$E$38="Menurun",'Spek Produk'!W103,'Spek Produk'!W161)</f>
        <v>77.510000000000005</v>
      </c>
      <c r="X45" s="26">
        <f>IF('Simulasi Premi 1 (Personal)'!$E$38="Menurun",'Spek Produk'!X103,'Spek Produk'!X161)</f>
        <v>86.07</v>
      </c>
      <c r="Y45" s="26">
        <f>IF('Simulasi Premi 1 (Personal)'!$E$38="Menurun",'Spek Produk'!Y103,'Spek Produk'!Y161)</f>
        <v>94.6</v>
      </c>
      <c r="Z45" s="26">
        <f>IF('Simulasi Premi 1 (Personal)'!$E$38="Menurun",'Spek Produk'!Z103,'Spek Produk'!Z161)</f>
        <v>103.04</v>
      </c>
      <c r="AA45" s="26">
        <f>IF('Simulasi Premi 1 (Personal)'!$E$38="Menurun",'Spek Produk'!AA103,'Spek Produk'!AA161)</f>
        <v>111.36</v>
      </c>
      <c r="AB45" s="26">
        <f>IF('Simulasi Premi 1 (Personal)'!$E$38="Menurun",'Spek Produk'!AB103,'Spek Produk'!AB161)</f>
        <v>0</v>
      </c>
      <c r="AC45" s="26">
        <f>IF('Simulasi Premi 1 (Personal)'!$E$38="Menurun",'Spek Produk'!AC103,'Spek Produk'!AC161)</f>
        <v>0</v>
      </c>
      <c r="AD45" s="26">
        <f>IF('Simulasi Premi 1 (Personal)'!$E$38="Menurun",'Spek Produk'!AD103,'Spek Produk'!AD161)</f>
        <v>0</v>
      </c>
      <c r="AE45" s="26">
        <f>IF('Simulasi Premi 1 (Personal)'!$E$38="Menurun",'Spek Produk'!AE103,'Spek Produk'!AE161)</f>
        <v>0</v>
      </c>
      <c r="AF45" s="26">
        <f>IF('Simulasi Premi 1 (Personal)'!$E$38="Menurun",'Spek Produk'!AF103,'Spek Produk'!AF161)</f>
        <v>0</v>
      </c>
      <c r="AG45" s="26">
        <f>IF('Simulasi Premi 1 (Personal)'!$E$38="Menurun",'Spek Produk'!AG103,'Spek Produk'!AG161)</f>
        <v>0</v>
      </c>
      <c r="AH45" s="26">
        <f>IF('Simulasi Premi 1 (Personal)'!$E$38="Menurun",'Spek Produk'!AH103,'Spek Produk'!AH161)</f>
        <v>0</v>
      </c>
      <c r="AI45" s="26">
        <f>IF('Simulasi Premi 1 (Personal)'!$E$38="Menurun",'Spek Produk'!AI103,'Spek Produk'!AI161)</f>
        <v>0</v>
      </c>
      <c r="AJ45" s="26">
        <f>IF('Simulasi Premi 1 (Personal)'!$E$38="Menurun",'Spek Produk'!AJ103,'Spek Produk'!AJ161)</f>
        <v>0</v>
      </c>
      <c r="AK45" s="26">
        <f>IF('Simulasi Premi 1 (Personal)'!$E$38="Menurun",'Spek Produk'!AK103,'Spek Produk'!AK161)</f>
        <v>0</v>
      </c>
      <c r="AL45" s="26">
        <f>IF('Simulasi Premi 1 (Personal)'!$E$38="Menurun",'Spek Produk'!AL103,'Spek Produk'!AL161)</f>
        <v>0</v>
      </c>
      <c r="AM45" s="26">
        <f>IF('Simulasi Premi 1 (Personal)'!$E$38="Menurun",'Spek Produk'!AM103,'Spek Produk'!AM161)</f>
        <v>0</v>
      </c>
      <c r="AN45" s="26">
        <f>IF('Simulasi Premi 1 (Personal)'!$E$38="Menurun",'Spek Produk'!AN103,'Spek Produk'!AN161)</f>
        <v>0</v>
      </c>
      <c r="AO45" s="26">
        <f>IF('Simulasi Premi 1 (Personal)'!$E$38="Menurun",'Spek Produk'!AO103,'Spek Produk'!AO161)</f>
        <v>0</v>
      </c>
      <c r="AP45" s="26">
        <f>IF('Simulasi Premi 1 (Personal)'!$E$38="Menurun",'Spek Produk'!AP103,'Spek Produk'!AP161)</f>
        <v>0</v>
      </c>
    </row>
    <row r="46" spans="2:59" x14ac:dyDescent="0.35">
      <c r="L46" s="24">
        <f t="shared" si="0"/>
        <v>58</v>
      </c>
      <c r="M46" s="26">
        <f>IF('Simulasi Premi 1 (Personal)'!$E$38="Menurun",'Spek Produk'!M104,'Spek Produk'!M162)</f>
        <v>4.82</v>
      </c>
      <c r="N46" s="26">
        <f>IF('Simulasi Premi 1 (Personal)'!$E$38="Menurun",'Spek Produk'!N104,'Spek Produk'!N162)</f>
        <v>9.92</v>
      </c>
      <c r="O46" s="26">
        <f>IF('Simulasi Premi 1 (Personal)'!$E$38="Menurun",'Spek Produk'!O104,'Spek Produk'!O162)</f>
        <v>15.74</v>
      </c>
      <c r="P46" s="26">
        <f>IF('Simulasi Premi 1 (Personal)'!$E$38="Menurun",'Spek Produk'!P104,'Spek Produk'!P162)</f>
        <v>22.18</v>
      </c>
      <c r="Q46" s="26">
        <f>IF('Simulasi Premi 1 (Personal)'!$E$38="Menurun",'Spek Produk'!Q104,'Spek Produk'!Q162)</f>
        <v>29.15</v>
      </c>
      <c r="R46" s="26">
        <f>IF('Simulasi Premi 1 (Personal)'!$E$38="Menurun",'Spek Produk'!R104,'Spek Produk'!R162)</f>
        <v>36.53</v>
      </c>
      <c r="S46" s="26">
        <f>IF('Simulasi Premi 1 (Personal)'!$E$38="Menurun",'Spek Produk'!S104,'Spek Produk'!S162)</f>
        <v>44.28</v>
      </c>
      <c r="T46" s="26">
        <f>IF('Simulasi Premi 1 (Personal)'!$E$38="Menurun",'Spek Produk'!T104,'Spek Produk'!T162)</f>
        <v>52.32</v>
      </c>
      <c r="U46" s="26">
        <f>IF('Simulasi Premi 1 (Personal)'!$E$38="Menurun",'Spek Produk'!U104,'Spek Produk'!U162)</f>
        <v>60.58</v>
      </c>
      <c r="V46" s="26">
        <f>IF('Simulasi Premi 1 (Personal)'!$E$38="Menurun",'Spek Produk'!V104,'Spek Produk'!V162)</f>
        <v>69</v>
      </c>
      <c r="W46" s="26">
        <f>IF('Simulasi Premi 1 (Personal)'!$E$38="Menurun",'Spek Produk'!W104,'Spek Produk'!W162)</f>
        <v>77.510000000000005</v>
      </c>
      <c r="X46" s="26">
        <f>IF('Simulasi Premi 1 (Personal)'!$E$38="Menurun",'Spek Produk'!X104,'Spek Produk'!X162)</f>
        <v>86.07</v>
      </c>
      <c r="Y46" s="26">
        <f>IF('Simulasi Premi 1 (Personal)'!$E$38="Menurun",'Spek Produk'!Y104,'Spek Produk'!Y162)</f>
        <v>94.6</v>
      </c>
      <c r="Z46" s="26">
        <f>IF('Simulasi Premi 1 (Personal)'!$E$38="Menurun",'Spek Produk'!Z104,'Spek Produk'!Z162)</f>
        <v>103.04</v>
      </c>
      <c r="AA46" s="26">
        <f>IF('Simulasi Premi 1 (Personal)'!$E$38="Menurun",'Spek Produk'!AA104,'Spek Produk'!AA162)</f>
        <v>111.36</v>
      </c>
      <c r="AB46" s="26">
        <f>IF('Simulasi Premi 1 (Personal)'!$E$38="Menurun",'Spek Produk'!AB104,'Spek Produk'!AB162)</f>
        <v>0</v>
      </c>
      <c r="AC46" s="26">
        <f>IF('Simulasi Premi 1 (Personal)'!$E$38="Menurun",'Spek Produk'!AC104,'Spek Produk'!AC162)</f>
        <v>0</v>
      </c>
      <c r="AD46" s="26">
        <f>IF('Simulasi Premi 1 (Personal)'!$E$38="Menurun",'Spek Produk'!AD104,'Spek Produk'!AD162)</f>
        <v>0</v>
      </c>
      <c r="AE46" s="26">
        <f>IF('Simulasi Premi 1 (Personal)'!$E$38="Menurun",'Spek Produk'!AE104,'Spek Produk'!AE162)</f>
        <v>0</v>
      </c>
      <c r="AF46" s="26">
        <f>IF('Simulasi Premi 1 (Personal)'!$E$38="Menurun",'Spek Produk'!AF104,'Spek Produk'!AF162)</f>
        <v>0</v>
      </c>
      <c r="AG46" s="26">
        <f>IF('Simulasi Premi 1 (Personal)'!$E$38="Menurun",'Spek Produk'!AG104,'Spek Produk'!AG162)</f>
        <v>0</v>
      </c>
      <c r="AH46" s="26">
        <f>IF('Simulasi Premi 1 (Personal)'!$E$38="Menurun",'Spek Produk'!AH104,'Spek Produk'!AH162)</f>
        <v>0</v>
      </c>
      <c r="AI46" s="26">
        <f>IF('Simulasi Premi 1 (Personal)'!$E$38="Menurun",'Spek Produk'!AI104,'Spek Produk'!AI162)</f>
        <v>0</v>
      </c>
      <c r="AJ46" s="26">
        <f>IF('Simulasi Premi 1 (Personal)'!$E$38="Menurun",'Spek Produk'!AJ104,'Spek Produk'!AJ162)</f>
        <v>0</v>
      </c>
      <c r="AK46" s="26">
        <f>IF('Simulasi Premi 1 (Personal)'!$E$38="Menurun",'Spek Produk'!AK104,'Spek Produk'!AK162)</f>
        <v>0</v>
      </c>
      <c r="AL46" s="26">
        <f>IF('Simulasi Premi 1 (Personal)'!$E$38="Menurun",'Spek Produk'!AL104,'Spek Produk'!AL162)</f>
        <v>0</v>
      </c>
      <c r="AM46" s="26">
        <f>IF('Simulasi Premi 1 (Personal)'!$E$38="Menurun",'Spek Produk'!AM104,'Spek Produk'!AM162)</f>
        <v>0</v>
      </c>
      <c r="AN46" s="26">
        <f>IF('Simulasi Premi 1 (Personal)'!$E$38="Menurun",'Spek Produk'!AN104,'Spek Produk'!AN162)</f>
        <v>0</v>
      </c>
      <c r="AO46" s="26">
        <f>IF('Simulasi Premi 1 (Personal)'!$E$38="Menurun",'Spek Produk'!AO104,'Spek Produk'!AO162)</f>
        <v>0</v>
      </c>
      <c r="AP46" s="26">
        <f>IF('Simulasi Premi 1 (Personal)'!$E$38="Menurun",'Spek Produk'!AP104,'Spek Produk'!AP162)</f>
        <v>0</v>
      </c>
    </row>
    <row r="47" spans="2:59" x14ac:dyDescent="0.35">
      <c r="L47" s="24">
        <f t="shared" si="0"/>
        <v>59</v>
      </c>
      <c r="M47" s="26">
        <f>IF('Simulasi Premi 1 (Personal)'!$E$38="Menurun",'Spek Produk'!M105,'Spek Produk'!M163)</f>
        <v>4.82</v>
      </c>
      <c r="N47" s="26">
        <f>IF('Simulasi Premi 1 (Personal)'!$E$38="Menurun",'Spek Produk'!N105,'Spek Produk'!N163)</f>
        <v>9.92</v>
      </c>
      <c r="O47" s="26">
        <f>IF('Simulasi Premi 1 (Personal)'!$E$38="Menurun",'Spek Produk'!O105,'Spek Produk'!O163)</f>
        <v>15.74</v>
      </c>
      <c r="P47" s="26">
        <f>IF('Simulasi Premi 1 (Personal)'!$E$38="Menurun",'Spek Produk'!P105,'Spek Produk'!P163)</f>
        <v>22.18</v>
      </c>
      <c r="Q47" s="26">
        <f>IF('Simulasi Premi 1 (Personal)'!$E$38="Menurun",'Spek Produk'!Q105,'Spek Produk'!Q163)</f>
        <v>29.15</v>
      </c>
      <c r="R47" s="26">
        <f>IF('Simulasi Premi 1 (Personal)'!$E$38="Menurun",'Spek Produk'!R105,'Spek Produk'!R163)</f>
        <v>36.53</v>
      </c>
      <c r="S47" s="26">
        <f>IF('Simulasi Premi 1 (Personal)'!$E$38="Menurun",'Spek Produk'!S105,'Spek Produk'!S163)</f>
        <v>44.28</v>
      </c>
      <c r="T47" s="26">
        <f>IF('Simulasi Premi 1 (Personal)'!$E$38="Menurun",'Spek Produk'!T105,'Spek Produk'!T163)</f>
        <v>52.32</v>
      </c>
      <c r="U47" s="26">
        <f>IF('Simulasi Premi 1 (Personal)'!$E$38="Menurun",'Spek Produk'!U105,'Spek Produk'!U163)</f>
        <v>60.58</v>
      </c>
      <c r="V47" s="26">
        <f>IF('Simulasi Premi 1 (Personal)'!$E$38="Menurun",'Spek Produk'!V105,'Spek Produk'!V163)</f>
        <v>69</v>
      </c>
      <c r="W47" s="26">
        <f>IF('Simulasi Premi 1 (Personal)'!$E$38="Menurun",'Spek Produk'!W105,'Spek Produk'!W163)</f>
        <v>77.510000000000005</v>
      </c>
      <c r="X47" s="26">
        <f>IF('Simulasi Premi 1 (Personal)'!$E$38="Menurun",'Spek Produk'!X105,'Spek Produk'!X163)</f>
        <v>86.07</v>
      </c>
      <c r="Y47" s="26">
        <f>IF('Simulasi Premi 1 (Personal)'!$E$38="Menurun",'Spek Produk'!Y105,'Spek Produk'!Y163)</f>
        <v>94.6</v>
      </c>
      <c r="Z47" s="26">
        <f>IF('Simulasi Premi 1 (Personal)'!$E$38="Menurun",'Spek Produk'!Z105,'Spek Produk'!Z163)</f>
        <v>103.04</v>
      </c>
      <c r="AA47" s="26">
        <f>IF('Simulasi Premi 1 (Personal)'!$E$38="Menurun",'Spek Produk'!AA105,'Spek Produk'!AA163)</f>
        <v>111.36</v>
      </c>
      <c r="AB47" s="26">
        <f>IF('Simulasi Premi 1 (Personal)'!$E$38="Menurun",'Spek Produk'!AB105,'Spek Produk'!AB163)</f>
        <v>0</v>
      </c>
      <c r="AC47" s="26">
        <f>IF('Simulasi Premi 1 (Personal)'!$E$38="Menurun",'Spek Produk'!AC105,'Spek Produk'!AC163)</f>
        <v>0</v>
      </c>
      <c r="AD47" s="26">
        <f>IF('Simulasi Premi 1 (Personal)'!$E$38="Menurun",'Spek Produk'!AD105,'Spek Produk'!AD163)</f>
        <v>0</v>
      </c>
      <c r="AE47" s="26">
        <f>IF('Simulasi Premi 1 (Personal)'!$E$38="Menurun",'Spek Produk'!AE105,'Spek Produk'!AE163)</f>
        <v>0</v>
      </c>
      <c r="AF47" s="26">
        <f>IF('Simulasi Premi 1 (Personal)'!$E$38="Menurun",'Spek Produk'!AF105,'Spek Produk'!AF163)</f>
        <v>0</v>
      </c>
      <c r="AG47" s="26">
        <f>IF('Simulasi Premi 1 (Personal)'!$E$38="Menurun",'Spek Produk'!AG105,'Spek Produk'!AG163)</f>
        <v>0</v>
      </c>
      <c r="AH47" s="26">
        <f>IF('Simulasi Premi 1 (Personal)'!$E$38="Menurun",'Spek Produk'!AH105,'Spek Produk'!AH163)</f>
        <v>0</v>
      </c>
      <c r="AI47" s="26">
        <f>IF('Simulasi Premi 1 (Personal)'!$E$38="Menurun",'Spek Produk'!AI105,'Spek Produk'!AI163)</f>
        <v>0</v>
      </c>
      <c r="AJ47" s="26">
        <f>IF('Simulasi Premi 1 (Personal)'!$E$38="Menurun",'Spek Produk'!AJ105,'Spek Produk'!AJ163)</f>
        <v>0</v>
      </c>
      <c r="AK47" s="26">
        <f>IF('Simulasi Premi 1 (Personal)'!$E$38="Menurun",'Spek Produk'!AK105,'Spek Produk'!AK163)</f>
        <v>0</v>
      </c>
      <c r="AL47" s="26">
        <f>IF('Simulasi Premi 1 (Personal)'!$E$38="Menurun",'Spek Produk'!AL105,'Spek Produk'!AL163)</f>
        <v>0</v>
      </c>
      <c r="AM47" s="26">
        <f>IF('Simulasi Premi 1 (Personal)'!$E$38="Menurun",'Spek Produk'!AM105,'Spek Produk'!AM163)</f>
        <v>0</v>
      </c>
      <c r="AN47" s="26">
        <f>IF('Simulasi Premi 1 (Personal)'!$E$38="Menurun",'Spek Produk'!AN105,'Spek Produk'!AN163)</f>
        <v>0</v>
      </c>
      <c r="AO47" s="26">
        <f>IF('Simulasi Premi 1 (Personal)'!$E$38="Menurun",'Spek Produk'!AO105,'Spek Produk'!AO163)</f>
        <v>0</v>
      </c>
      <c r="AP47" s="26">
        <f>IF('Simulasi Premi 1 (Personal)'!$E$38="Menurun",'Spek Produk'!AP105,'Spek Produk'!AP163)</f>
        <v>0</v>
      </c>
    </row>
    <row r="48" spans="2:59" x14ac:dyDescent="0.35">
      <c r="L48" s="24">
        <f t="shared" si="0"/>
        <v>60</v>
      </c>
      <c r="M48" s="26">
        <f>IF('Simulasi Premi 1 (Personal)'!$E$38="Menurun",'Spek Produk'!M106,'Spek Produk'!M164)</f>
        <v>4.82</v>
      </c>
      <c r="N48" s="26">
        <f>IF('Simulasi Premi 1 (Personal)'!$E$38="Menurun",'Spek Produk'!N106,'Spek Produk'!N164)</f>
        <v>9.92</v>
      </c>
      <c r="O48" s="26">
        <f>IF('Simulasi Premi 1 (Personal)'!$E$38="Menurun",'Spek Produk'!O106,'Spek Produk'!O164)</f>
        <v>15.74</v>
      </c>
      <c r="P48" s="26">
        <f>IF('Simulasi Premi 1 (Personal)'!$E$38="Menurun",'Spek Produk'!P106,'Spek Produk'!P164)</f>
        <v>22.18</v>
      </c>
      <c r="Q48" s="26">
        <f>IF('Simulasi Premi 1 (Personal)'!$E$38="Menurun",'Spek Produk'!Q106,'Spek Produk'!Q164)</f>
        <v>29.15</v>
      </c>
      <c r="R48" s="26">
        <f>IF('Simulasi Premi 1 (Personal)'!$E$38="Menurun",'Spek Produk'!R106,'Spek Produk'!R164)</f>
        <v>36.53</v>
      </c>
      <c r="S48" s="26">
        <f>IF('Simulasi Premi 1 (Personal)'!$E$38="Menurun",'Spek Produk'!S106,'Spek Produk'!S164)</f>
        <v>44.28</v>
      </c>
      <c r="T48" s="26">
        <f>IF('Simulasi Premi 1 (Personal)'!$E$38="Menurun",'Spek Produk'!T106,'Spek Produk'!T164)</f>
        <v>52.32</v>
      </c>
      <c r="U48" s="26">
        <f>IF('Simulasi Premi 1 (Personal)'!$E$38="Menurun",'Spek Produk'!U106,'Spek Produk'!U164)</f>
        <v>60.58</v>
      </c>
      <c r="V48" s="26">
        <f>IF('Simulasi Premi 1 (Personal)'!$E$38="Menurun",'Spek Produk'!V106,'Spek Produk'!V164)</f>
        <v>69</v>
      </c>
      <c r="W48" s="26">
        <f>IF('Simulasi Premi 1 (Personal)'!$E$38="Menurun",'Spek Produk'!W106,'Spek Produk'!W164)</f>
        <v>77.510000000000005</v>
      </c>
      <c r="X48" s="26">
        <f>IF('Simulasi Premi 1 (Personal)'!$E$38="Menurun",'Spek Produk'!X106,'Spek Produk'!X164)</f>
        <v>86.07</v>
      </c>
      <c r="Y48" s="26">
        <f>IF('Simulasi Premi 1 (Personal)'!$E$38="Menurun",'Spek Produk'!Y106,'Spek Produk'!Y164)</f>
        <v>94.6</v>
      </c>
      <c r="Z48" s="26">
        <f>IF('Simulasi Premi 1 (Personal)'!$E$38="Menurun",'Spek Produk'!Z106,'Spek Produk'!Z164)</f>
        <v>103.04</v>
      </c>
      <c r="AA48" s="26">
        <f>IF('Simulasi Premi 1 (Personal)'!$E$38="Menurun",'Spek Produk'!AA106,'Spek Produk'!AA164)</f>
        <v>111.36</v>
      </c>
      <c r="AB48" s="26">
        <f>IF('Simulasi Premi 1 (Personal)'!$E$38="Menurun",'Spek Produk'!AB106,'Spek Produk'!AB164)</f>
        <v>0</v>
      </c>
      <c r="AC48" s="26">
        <f>IF('Simulasi Premi 1 (Personal)'!$E$38="Menurun",'Spek Produk'!AC106,'Spek Produk'!AC164)</f>
        <v>0</v>
      </c>
      <c r="AD48" s="26">
        <f>IF('Simulasi Premi 1 (Personal)'!$E$38="Menurun",'Spek Produk'!AD106,'Spek Produk'!AD164)</f>
        <v>0</v>
      </c>
      <c r="AE48" s="26">
        <f>IF('Simulasi Premi 1 (Personal)'!$E$38="Menurun",'Spek Produk'!AE106,'Spek Produk'!AE164)</f>
        <v>0</v>
      </c>
      <c r="AF48" s="26">
        <f>IF('Simulasi Premi 1 (Personal)'!$E$38="Menurun",'Spek Produk'!AF106,'Spek Produk'!AF164)</f>
        <v>0</v>
      </c>
      <c r="AG48" s="26">
        <f>IF('Simulasi Premi 1 (Personal)'!$E$38="Menurun",'Spek Produk'!AG106,'Spek Produk'!AG164)</f>
        <v>0</v>
      </c>
      <c r="AH48" s="26">
        <f>IF('Simulasi Premi 1 (Personal)'!$E$38="Menurun",'Spek Produk'!AH106,'Spek Produk'!AH164)</f>
        <v>0</v>
      </c>
      <c r="AI48" s="26">
        <f>IF('Simulasi Premi 1 (Personal)'!$E$38="Menurun",'Spek Produk'!AI106,'Spek Produk'!AI164)</f>
        <v>0</v>
      </c>
      <c r="AJ48" s="26">
        <f>IF('Simulasi Premi 1 (Personal)'!$E$38="Menurun",'Spek Produk'!AJ106,'Spek Produk'!AJ164)</f>
        <v>0</v>
      </c>
      <c r="AK48" s="26">
        <f>IF('Simulasi Premi 1 (Personal)'!$E$38="Menurun",'Spek Produk'!AK106,'Spek Produk'!AK164)</f>
        <v>0</v>
      </c>
      <c r="AL48" s="26">
        <f>IF('Simulasi Premi 1 (Personal)'!$E$38="Menurun",'Spek Produk'!AL106,'Spek Produk'!AL164)</f>
        <v>0</v>
      </c>
      <c r="AM48" s="26">
        <f>IF('Simulasi Premi 1 (Personal)'!$E$38="Menurun",'Spek Produk'!AM106,'Spek Produk'!AM164)</f>
        <v>0</v>
      </c>
      <c r="AN48" s="26">
        <f>IF('Simulasi Premi 1 (Personal)'!$E$38="Menurun",'Spek Produk'!AN106,'Spek Produk'!AN164)</f>
        <v>0</v>
      </c>
      <c r="AO48" s="26">
        <f>IF('Simulasi Premi 1 (Personal)'!$E$38="Menurun",'Spek Produk'!AO106,'Spek Produk'!AO164)</f>
        <v>0</v>
      </c>
      <c r="AP48" s="26">
        <f>IF('Simulasi Premi 1 (Personal)'!$E$38="Menurun",'Spek Produk'!AP106,'Spek Produk'!AP164)</f>
        <v>0</v>
      </c>
    </row>
    <row r="49" spans="11:42" x14ac:dyDescent="0.35">
      <c r="L49" s="24">
        <f t="shared" si="0"/>
        <v>61</v>
      </c>
      <c r="M49" s="26">
        <f>IF('Simulasi Premi 1 (Personal)'!$E$38="Menurun",'Spek Produk'!M107,'Spek Produk'!M165)</f>
        <v>4.82</v>
      </c>
      <c r="N49" s="26">
        <f>IF('Simulasi Premi 1 (Personal)'!$E$38="Menurun",'Spek Produk'!N107,'Spek Produk'!N165)</f>
        <v>9.92</v>
      </c>
      <c r="O49" s="26">
        <f>IF('Simulasi Premi 1 (Personal)'!$E$38="Menurun",'Spek Produk'!O107,'Spek Produk'!O165)</f>
        <v>15.74</v>
      </c>
      <c r="P49" s="26">
        <f>IF('Simulasi Premi 1 (Personal)'!$E$38="Menurun",'Spek Produk'!P107,'Spek Produk'!P165)</f>
        <v>22.18</v>
      </c>
      <c r="Q49" s="26">
        <f>IF('Simulasi Premi 1 (Personal)'!$E$38="Menurun",'Spek Produk'!Q107,'Spek Produk'!Q165)</f>
        <v>29.15</v>
      </c>
      <c r="R49" s="26">
        <f>IF('Simulasi Premi 1 (Personal)'!$E$38="Menurun",'Spek Produk'!R107,'Spek Produk'!R165)</f>
        <v>36.53</v>
      </c>
      <c r="S49" s="26">
        <f>IF('Simulasi Premi 1 (Personal)'!$E$38="Menurun",'Spek Produk'!S107,'Spek Produk'!S165)</f>
        <v>44.28</v>
      </c>
      <c r="T49" s="26">
        <f>IF('Simulasi Premi 1 (Personal)'!$E$38="Menurun",'Spek Produk'!T107,'Spek Produk'!T165)</f>
        <v>52.32</v>
      </c>
      <c r="U49" s="26">
        <f>IF('Simulasi Premi 1 (Personal)'!$E$38="Menurun",'Spek Produk'!U107,'Spek Produk'!U165)</f>
        <v>60.58</v>
      </c>
      <c r="V49" s="26">
        <f>IF('Simulasi Premi 1 (Personal)'!$E$38="Menurun",'Spek Produk'!V107,'Spek Produk'!V165)</f>
        <v>69</v>
      </c>
      <c r="W49" s="26">
        <f>IF('Simulasi Premi 1 (Personal)'!$E$38="Menurun",'Spek Produk'!W107,'Spek Produk'!W165)</f>
        <v>77.510000000000005</v>
      </c>
      <c r="X49" s="26">
        <f>IF('Simulasi Premi 1 (Personal)'!$E$38="Menurun",'Spek Produk'!X107,'Spek Produk'!X165)</f>
        <v>86.07</v>
      </c>
      <c r="Y49" s="26">
        <f>IF('Simulasi Premi 1 (Personal)'!$E$38="Menurun",'Spek Produk'!Y107,'Spek Produk'!Y165)</f>
        <v>94.6</v>
      </c>
      <c r="Z49" s="26">
        <f>IF('Simulasi Premi 1 (Personal)'!$E$38="Menurun",'Spek Produk'!Z107,'Spek Produk'!Z165)</f>
        <v>103.04</v>
      </c>
      <c r="AA49" s="26">
        <f>IF('Simulasi Premi 1 (Personal)'!$E$38="Menurun",'Spek Produk'!AA107,'Spek Produk'!AA165)</f>
        <v>111.36</v>
      </c>
      <c r="AB49" s="26">
        <f>IF('Simulasi Premi 1 (Personal)'!$E$38="Menurun",'Spek Produk'!AB107,'Spek Produk'!AB165)</f>
        <v>0</v>
      </c>
      <c r="AC49" s="26">
        <f>IF('Simulasi Premi 1 (Personal)'!$E$38="Menurun",'Spek Produk'!AC107,'Spek Produk'!AC165)</f>
        <v>0</v>
      </c>
      <c r="AD49" s="26">
        <f>IF('Simulasi Premi 1 (Personal)'!$E$38="Menurun",'Spek Produk'!AD107,'Spek Produk'!AD165)</f>
        <v>0</v>
      </c>
      <c r="AE49" s="26">
        <f>IF('Simulasi Premi 1 (Personal)'!$E$38="Menurun",'Spek Produk'!AE107,'Spek Produk'!AE165)</f>
        <v>0</v>
      </c>
      <c r="AF49" s="26">
        <f>IF('Simulasi Premi 1 (Personal)'!$E$38="Menurun",'Spek Produk'!AF107,'Spek Produk'!AF165)</f>
        <v>0</v>
      </c>
      <c r="AG49" s="26">
        <f>IF('Simulasi Premi 1 (Personal)'!$E$38="Menurun",'Spek Produk'!AG107,'Spek Produk'!AG165)</f>
        <v>0</v>
      </c>
      <c r="AH49" s="26">
        <f>IF('Simulasi Premi 1 (Personal)'!$E$38="Menurun",'Spek Produk'!AH107,'Spek Produk'!AH165)</f>
        <v>0</v>
      </c>
      <c r="AI49" s="26">
        <f>IF('Simulasi Premi 1 (Personal)'!$E$38="Menurun",'Spek Produk'!AI107,'Spek Produk'!AI165)</f>
        <v>0</v>
      </c>
      <c r="AJ49" s="26">
        <f>IF('Simulasi Premi 1 (Personal)'!$E$38="Menurun",'Spek Produk'!AJ107,'Spek Produk'!AJ165)</f>
        <v>0</v>
      </c>
      <c r="AK49" s="26">
        <f>IF('Simulasi Premi 1 (Personal)'!$E$38="Menurun",'Spek Produk'!AK107,'Spek Produk'!AK165)</f>
        <v>0</v>
      </c>
      <c r="AL49" s="26">
        <f>IF('Simulasi Premi 1 (Personal)'!$E$38="Menurun",'Spek Produk'!AL107,'Spek Produk'!AL165)</f>
        <v>0</v>
      </c>
      <c r="AM49" s="26">
        <f>IF('Simulasi Premi 1 (Personal)'!$E$38="Menurun",'Spek Produk'!AM107,'Spek Produk'!AM165)</f>
        <v>0</v>
      </c>
      <c r="AN49" s="26">
        <f>IF('Simulasi Premi 1 (Personal)'!$E$38="Menurun",'Spek Produk'!AN107,'Spek Produk'!AN165)</f>
        <v>0</v>
      </c>
      <c r="AO49" s="26">
        <f>IF('Simulasi Premi 1 (Personal)'!$E$38="Menurun",'Spek Produk'!AO107,'Spek Produk'!AO165)</f>
        <v>0</v>
      </c>
      <c r="AP49" s="26">
        <f>IF('Simulasi Premi 1 (Personal)'!$E$38="Menurun",'Spek Produk'!AP107,'Spek Produk'!AP165)</f>
        <v>0</v>
      </c>
    </row>
    <row r="50" spans="11:42" x14ac:dyDescent="0.35">
      <c r="L50" s="24">
        <f t="shared" si="0"/>
        <v>62</v>
      </c>
      <c r="M50" s="26">
        <f>IF('Simulasi Premi 1 (Personal)'!$E$38="Menurun",'Spek Produk'!M108,'Spek Produk'!M166)</f>
        <v>4.82</v>
      </c>
      <c r="N50" s="26">
        <f>IF('Simulasi Premi 1 (Personal)'!$E$38="Menurun",'Spek Produk'!N108,'Spek Produk'!N166)</f>
        <v>9.92</v>
      </c>
      <c r="O50" s="26">
        <f>IF('Simulasi Premi 1 (Personal)'!$E$38="Menurun",'Spek Produk'!O108,'Spek Produk'!O166)</f>
        <v>15.74</v>
      </c>
      <c r="P50" s="26">
        <f>IF('Simulasi Premi 1 (Personal)'!$E$38="Menurun",'Spek Produk'!P108,'Spek Produk'!P166)</f>
        <v>22.18</v>
      </c>
      <c r="Q50" s="26">
        <f>IF('Simulasi Premi 1 (Personal)'!$E$38="Menurun",'Spek Produk'!Q108,'Spek Produk'!Q166)</f>
        <v>29.15</v>
      </c>
      <c r="R50" s="26">
        <f>IF('Simulasi Premi 1 (Personal)'!$E$38="Menurun",'Spek Produk'!R108,'Spek Produk'!R166)</f>
        <v>36.53</v>
      </c>
      <c r="S50" s="26">
        <f>IF('Simulasi Premi 1 (Personal)'!$E$38="Menurun",'Spek Produk'!S108,'Spek Produk'!S166)</f>
        <v>44.28</v>
      </c>
      <c r="T50" s="26">
        <f>IF('Simulasi Premi 1 (Personal)'!$E$38="Menurun",'Spek Produk'!T108,'Spek Produk'!T166)</f>
        <v>52.32</v>
      </c>
      <c r="U50" s="26">
        <f>IF('Simulasi Premi 1 (Personal)'!$E$38="Menurun",'Spek Produk'!U108,'Spek Produk'!U166)</f>
        <v>60.58</v>
      </c>
      <c r="V50" s="26">
        <f>IF('Simulasi Premi 1 (Personal)'!$E$38="Menurun",'Spek Produk'!V108,'Spek Produk'!V166)</f>
        <v>69</v>
      </c>
      <c r="W50" s="26">
        <f>IF('Simulasi Premi 1 (Personal)'!$E$38="Menurun",'Spek Produk'!W108,'Spek Produk'!W166)</f>
        <v>77.510000000000005</v>
      </c>
      <c r="X50" s="26">
        <f>IF('Simulasi Premi 1 (Personal)'!$E$38="Menurun",'Spek Produk'!X108,'Spek Produk'!X166)</f>
        <v>86.07</v>
      </c>
      <c r="Y50" s="26">
        <f>IF('Simulasi Premi 1 (Personal)'!$E$38="Menurun",'Spek Produk'!Y108,'Spek Produk'!Y166)</f>
        <v>94.6</v>
      </c>
      <c r="Z50" s="26">
        <f>IF('Simulasi Premi 1 (Personal)'!$E$38="Menurun",'Spek Produk'!Z108,'Spek Produk'!Z166)</f>
        <v>103.04</v>
      </c>
      <c r="AA50" s="26">
        <f>IF('Simulasi Premi 1 (Personal)'!$E$38="Menurun",'Spek Produk'!AA108,'Spek Produk'!AA166)</f>
        <v>111.36</v>
      </c>
      <c r="AB50" s="26">
        <f>IF('Simulasi Premi 1 (Personal)'!$E$38="Menurun",'Spek Produk'!AB108,'Spek Produk'!AB166)</f>
        <v>0</v>
      </c>
      <c r="AC50" s="26">
        <f>IF('Simulasi Premi 1 (Personal)'!$E$38="Menurun",'Spek Produk'!AC108,'Spek Produk'!AC166)</f>
        <v>0</v>
      </c>
      <c r="AD50" s="26">
        <f>IF('Simulasi Premi 1 (Personal)'!$E$38="Menurun",'Spek Produk'!AD108,'Spek Produk'!AD166)</f>
        <v>0</v>
      </c>
      <c r="AE50" s="26">
        <f>IF('Simulasi Premi 1 (Personal)'!$E$38="Menurun",'Spek Produk'!AE108,'Spek Produk'!AE166)</f>
        <v>0</v>
      </c>
      <c r="AF50" s="26">
        <f>IF('Simulasi Premi 1 (Personal)'!$E$38="Menurun",'Spek Produk'!AF108,'Spek Produk'!AF166)</f>
        <v>0</v>
      </c>
      <c r="AG50" s="26">
        <f>IF('Simulasi Premi 1 (Personal)'!$E$38="Menurun",'Spek Produk'!AG108,'Spek Produk'!AG166)</f>
        <v>0</v>
      </c>
      <c r="AH50" s="26">
        <f>IF('Simulasi Premi 1 (Personal)'!$E$38="Menurun",'Spek Produk'!AH108,'Spek Produk'!AH166)</f>
        <v>0</v>
      </c>
      <c r="AI50" s="26">
        <f>IF('Simulasi Premi 1 (Personal)'!$E$38="Menurun",'Spek Produk'!AI108,'Spek Produk'!AI166)</f>
        <v>0</v>
      </c>
      <c r="AJ50" s="26">
        <f>IF('Simulasi Premi 1 (Personal)'!$E$38="Menurun",'Spek Produk'!AJ108,'Spek Produk'!AJ166)</f>
        <v>0</v>
      </c>
      <c r="AK50" s="26">
        <f>IF('Simulasi Premi 1 (Personal)'!$E$38="Menurun",'Spek Produk'!AK108,'Spek Produk'!AK166)</f>
        <v>0</v>
      </c>
      <c r="AL50" s="26">
        <f>IF('Simulasi Premi 1 (Personal)'!$E$38="Menurun",'Spek Produk'!AL108,'Spek Produk'!AL166)</f>
        <v>0</v>
      </c>
      <c r="AM50" s="26">
        <f>IF('Simulasi Premi 1 (Personal)'!$E$38="Menurun",'Spek Produk'!AM108,'Spek Produk'!AM166)</f>
        <v>0</v>
      </c>
      <c r="AN50" s="26">
        <f>IF('Simulasi Premi 1 (Personal)'!$E$38="Menurun",'Spek Produk'!AN108,'Spek Produk'!AN166)</f>
        <v>0</v>
      </c>
      <c r="AO50" s="26">
        <f>IF('Simulasi Premi 1 (Personal)'!$E$38="Menurun",'Spek Produk'!AO108,'Spek Produk'!AO166)</f>
        <v>0</v>
      </c>
      <c r="AP50" s="26">
        <f>IF('Simulasi Premi 1 (Personal)'!$E$38="Menurun",'Spek Produk'!AP108,'Spek Produk'!AP166)</f>
        <v>0</v>
      </c>
    </row>
    <row r="51" spans="11:42" x14ac:dyDescent="0.35">
      <c r="L51" s="24">
        <f t="shared" si="0"/>
        <v>63</v>
      </c>
      <c r="M51" s="26">
        <f>IF('Simulasi Premi 1 (Personal)'!$E$38="Menurun",'Spek Produk'!M109,'Spek Produk'!M167)</f>
        <v>4.82</v>
      </c>
      <c r="N51" s="26">
        <f>IF('Simulasi Premi 1 (Personal)'!$E$38="Menurun",'Spek Produk'!N109,'Spek Produk'!N167)</f>
        <v>9.92</v>
      </c>
      <c r="O51" s="26">
        <f>IF('Simulasi Premi 1 (Personal)'!$E$38="Menurun",'Spek Produk'!O109,'Spek Produk'!O167)</f>
        <v>15.74</v>
      </c>
      <c r="P51" s="26">
        <f>IF('Simulasi Premi 1 (Personal)'!$E$38="Menurun",'Spek Produk'!P109,'Spek Produk'!P167)</f>
        <v>22.18</v>
      </c>
      <c r="Q51" s="26">
        <f>IF('Simulasi Premi 1 (Personal)'!$E$38="Menurun",'Spek Produk'!Q109,'Spek Produk'!Q167)</f>
        <v>29.15</v>
      </c>
      <c r="R51" s="26">
        <f>IF('Simulasi Premi 1 (Personal)'!$E$38="Menurun",'Spek Produk'!R109,'Spek Produk'!R167)</f>
        <v>36.53</v>
      </c>
      <c r="S51" s="26">
        <f>IF('Simulasi Premi 1 (Personal)'!$E$38="Menurun",'Spek Produk'!S109,'Spek Produk'!S167)</f>
        <v>44.28</v>
      </c>
      <c r="T51" s="26">
        <f>IF('Simulasi Premi 1 (Personal)'!$E$38="Menurun",'Spek Produk'!T109,'Spek Produk'!T167)</f>
        <v>52.32</v>
      </c>
      <c r="U51" s="26">
        <f>IF('Simulasi Premi 1 (Personal)'!$E$38="Menurun",'Spek Produk'!U109,'Spek Produk'!U167)</f>
        <v>60.58</v>
      </c>
      <c r="V51" s="26">
        <f>IF('Simulasi Premi 1 (Personal)'!$E$38="Menurun",'Spek Produk'!V109,'Spek Produk'!V167)</f>
        <v>69</v>
      </c>
      <c r="W51" s="26">
        <f>IF('Simulasi Premi 1 (Personal)'!$E$38="Menurun",'Spek Produk'!W109,'Spek Produk'!W167)</f>
        <v>77.510000000000005</v>
      </c>
      <c r="X51" s="26">
        <f>IF('Simulasi Premi 1 (Personal)'!$E$38="Menurun",'Spek Produk'!X109,'Spek Produk'!X167)</f>
        <v>86.07</v>
      </c>
      <c r="Y51" s="26">
        <f>IF('Simulasi Premi 1 (Personal)'!$E$38="Menurun",'Spek Produk'!Y109,'Spek Produk'!Y167)</f>
        <v>94.6</v>
      </c>
      <c r="Z51" s="26">
        <f>IF('Simulasi Premi 1 (Personal)'!$E$38="Menurun",'Spek Produk'!Z109,'Spek Produk'!Z167)</f>
        <v>103.04</v>
      </c>
      <c r="AA51" s="26">
        <f>IF('Simulasi Premi 1 (Personal)'!$E$38="Menurun",'Spek Produk'!AA109,'Spek Produk'!AA167)</f>
        <v>111.36</v>
      </c>
      <c r="AB51" s="26">
        <f>IF('Simulasi Premi 1 (Personal)'!$E$38="Menurun",'Spek Produk'!AB109,'Spek Produk'!AB167)</f>
        <v>0</v>
      </c>
      <c r="AC51" s="26">
        <f>IF('Simulasi Premi 1 (Personal)'!$E$38="Menurun",'Spek Produk'!AC109,'Spek Produk'!AC167)</f>
        <v>0</v>
      </c>
      <c r="AD51" s="26">
        <f>IF('Simulasi Premi 1 (Personal)'!$E$38="Menurun",'Spek Produk'!AD109,'Spek Produk'!AD167)</f>
        <v>0</v>
      </c>
      <c r="AE51" s="26">
        <f>IF('Simulasi Premi 1 (Personal)'!$E$38="Menurun",'Spek Produk'!AE109,'Spek Produk'!AE167)</f>
        <v>0</v>
      </c>
      <c r="AF51" s="26">
        <f>IF('Simulasi Premi 1 (Personal)'!$E$38="Menurun",'Spek Produk'!AF109,'Spek Produk'!AF167)</f>
        <v>0</v>
      </c>
      <c r="AG51" s="26">
        <f>IF('Simulasi Premi 1 (Personal)'!$E$38="Menurun",'Spek Produk'!AG109,'Spek Produk'!AG167)</f>
        <v>0</v>
      </c>
      <c r="AH51" s="26">
        <f>IF('Simulasi Premi 1 (Personal)'!$E$38="Menurun",'Spek Produk'!AH109,'Spek Produk'!AH167)</f>
        <v>0</v>
      </c>
      <c r="AI51" s="26">
        <f>IF('Simulasi Premi 1 (Personal)'!$E$38="Menurun",'Spek Produk'!AI109,'Spek Produk'!AI167)</f>
        <v>0</v>
      </c>
      <c r="AJ51" s="26">
        <f>IF('Simulasi Premi 1 (Personal)'!$E$38="Menurun",'Spek Produk'!AJ109,'Spek Produk'!AJ167)</f>
        <v>0</v>
      </c>
      <c r="AK51" s="26">
        <f>IF('Simulasi Premi 1 (Personal)'!$E$38="Menurun",'Spek Produk'!AK109,'Spek Produk'!AK167)</f>
        <v>0</v>
      </c>
      <c r="AL51" s="26">
        <f>IF('Simulasi Premi 1 (Personal)'!$E$38="Menurun",'Spek Produk'!AL109,'Spek Produk'!AL167)</f>
        <v>0</v>
      </c>
      <c r="AM51" s="26">
        <f>IF('Simulasi Premi 1 (Personal)'!$E$38="Menurun",'Spek Produk'!AM109,'Spek Produk'!AM167)</f>
        <v>0</v>
      </c>
      <c r="AN51" s="26">
        <f>IF('Simulasi Premi 1 (Personal)'!$E$38="Menurun",'Spek Produk'!AN109,'Spek Produk'!AN167)</f>
        <v>0</v>
      </c>
      <c r="AO51" s="26">
        <f>IF('Simulasi Premi 1 (Personal)'!$E$38="Menurun",'Spek Produk'!AO109,'Spek Produk'!AO167)</f>
        <v>0</v>
      </c>
      <c r="AP51" s="26">
        <f>IF('Simulasi Premi 1 (Personal)'!$E$38="Menurun",'Spek Produk'!AP109,'Spek Produk'!AP167)</f>
        <v>0</v>
      </c>
    </row>
    <row r="52" spans="11:42" x14ac:dyDescent="0.35">
      <c r="L52" s="24">
        <f t="shared" si="0"/>
        <v>64</v>
      </c>
      <c r="M52" s="26">
        <f>IF('Simulasi Premi 1 (Personal)'!$E$38="Menurun",'Spek Produk'!M110,'Spek Produk'!M168)</f>
        <v>4.82</v>
      </c>
      <c r="N52" s="26">
        <f>IF('Simulasi Premi 1 (Personal)'!$E$38="Menurun",'Spek Produk'!N110,'Spek Produk'!N168)</f>
        <v>9.92</v>
      </c>
      <c r="O52" s="26">
        <f>IF('Simulasi Premi 1 (Personal)'!$E$38="Menurun",'Spek Produk'!O110,'Spek Produk'!O168)</f>
        <v>15.74</v>
      </c>
      <c r="P52" s="26">
        <f>IF('Simulasi Premi 1 (Personal)'!$E$38="Menurun",'Spek Produk'!P110,'Spek Produk'!P168)</f>
        <v>22.18</v>
      </c>
      <c r="Q52" s="26">
        <f>IF('Simulasi Premi 1 (Personal)'!$E$38="Menurun",'Spek Produk'!Q110,'Spek Produk'!Q168)</f>
        <v>29.15</v>
      </c>
      <c r="R52" s="26">
        <f>IF('Simulasi Premi 1 (Personal)'!$E$38="Menurun",'Spek Produk'!R110,'Spek Produk'!R168)</f>
        <v>36.53</v>
      </c>
      <c r="S52" s="26">
        <f>IF('Simulasi Premi 1 (Personal)'!$E$38="Menurun",'Spek Produk'!S110,'Spek Produk'!S168)</f>
        <v>44.28</v>
      </c>
      <c r="T52" s="26">
        <f>IF('Simulasi Premi 1 (Personal)'!$E$38="Menurun",'Spek Produk'!T110,'Spek Produk'!T168)</f>
        <v>52.32</v>
      </c>
      <c r="U52" s="26">
        <f>IF('Simulasi Premi 1 (Personal)'!$E$38="Menurun",'Spek Produk'!U110,'Spek Produk'!U168)</f>
        <v>60.58</v>
      </c>
      <c r="V52" s="26">
        <f>IF('Simulasi Premi 1 (Personal)'!$E$38="Menurun",'Spek Produk'!V110,'Spek Produk'!V168)</f>
        <v>69</v>
      </c>
      <c r="W52" s="26">
        <f>IF('Simulasi Premi 1 (Personal)'!$E$38="Menurun",'Spek Produk'!W110,'Spek Produk'!W168)</f>
        <v>77.510000000000005</v>
      </c>
      <c r="X52" s="26">
        <f>IF('Simulasi Premi 1 (Personal)'!$E$38="Menurun",'Spek Produk'!X110,'Spek Produk'!X168)</f>
        <v>86.07</v>
      </c>
      <c r="Y52" s="26">
        <f>IF('Simulasi Premi 1 (Personal)'!$E$38="Menurun",'Spek Produk'!Y110,'Spek Produk'!Y168)</f>
        <v>94.6</v>
      </c>
      <c r="Z52" s="26">
        <f>IF('Simulasi Premi 1 (Personal)'!$E$38="Menurun",'Spek Produk'!Z110,'Spek Produk'!Z168)</f>
        <v>103.04</v>
      </c>
      <c r="AA52" s="26">
        <f>IF('Simulasi Premi 1 (Personal)'!$E$38="Menurun",'Spek Produk'!AA110,'Spek Produk'!AA168)</f>
        <v>111.36</v>
      </c>
      <c r="AB52" s="26">
        <f>IF('Simulasi Premi 1 (Personal)'!$E$38="Menurun",'Spek Produk'!AB110,'Spek Produk'!AB168)</f>
        <v>0</v>
      </c>
      <c r="AC52" s="26">
        <f>IF('Simulasi Premi 1 (Personal)'!$E$38="Menurun",'Spek Produk'!AC110,'Spek Produk'!AC168)</f>
        <v>0</v>
      </c>
      <c r="AD52" s="26">
        <f>IF('Simulasi Premi 1 (Personal)'!$E$38="Menurun",'Spek Produk'!AD110,'Spek Produk'!AD168)</f>
        <v>0</v>
      </c>
      <c r="AE52" s="26">
        <f>IF('Simulasi Premi 1 (Personal)'!$E$38="Menurun",'Spek Produk'!AE110,'Spek Produk'!AE168)</f>
        <v>0</v>
      </c>
      <c r="AF52" s="26">
        <f>IF('Simulasi Premi 1 (Personal)'!$E$38="Menurun",'Spek Produk'!AF110,'Spek Produk'!AF168)</f>
        <v>0</v>
      </c>
      <c r="AG52" s="26">
        <f>IF('Simulasi Premi 1 (Personal)'!$E$38="Menurun",'Spek Produk'!AG110,'Spek Produk'!AG168)</f>
        <v>0</v>
      </c>
      <c r="AH52" s="26">
        <f>IF('Simulasi Premi 1 (Personal)'!$E$38="Menurun",'Spek Produk'!AH110,'Spek Produk'!AH168)</f>
        <v>0</v>
      </c>
      <c r="AI52" s="26">
        <f>IF('Simulasi Premi 1 (Personal)'!$E$38="Menurun",'Spek Produk'!AI110,'Spek Produk'!AI168)</f>
        <v>0</v>
      </c>
      <c r="AJ52" s="26">
        <f>IF('Simulasi Premi 1 (Personal)'!$E$38="Menurun",'Spek Produk'!AJ110,'Spek Produk'!AJ168)</f>
        <v>0</v>
      </c>
      <c r="AK52" s="26">
        <f>IF('Simulasi Premi 1 (Personal)'!$E$38="Menurun",'Spek Produk'!AK110,'Spek Produk'!AK168)</f>
        <v>0</v>
      </c>
      <c r="AL52" s="26">
        <f>IF('Simulasi Premi 1 (Personal)'!$E$38="Menurun",'Spek Produk'!AL110,'Spek Produk'!AL168)</f>
        <v>0</v>
      </c>
      <c r="AM52" s="26">
        <f>IF('Simulasi Premi 1 (Personal)'!$E$38="Menurun",'Spek Produk'!AM110,'Spek Produk'!AM168)</f>
        <v>0</v>
      </c>
      <c r="AN52" s="26">
        <f>IF('Simulasi Premi 1 (Personal)'!$E$38="Menurun",'Spek Produk'!AN110,'Spek Produk'!AN168)</f>
        <v>0</v>
      </c>
      <c r="AO52" s="26">
        <f>IF('Simulasi Premi 1 (Personal)'!$E$38="Menurun",'Spek Produk'!AO110,'Spek Produk'!AO168)</f>
        <v>0</v>
      </c>
      <c r="AP52" s="26">
        <f>IF('Simulasi Premi 1 (Personal)'!$E$38="Menurun",'Spek Produk'!AP110,'Spek Produk'!AP168)</f>
        <v>0</v>
      </c>
    </row>
    <row r="53" spans="11:42" x14ac:dyDescent="0.35">
      <c r="L53" s="24">
        <f t="shared" si="0"/>
        <v>65</v>
      </c>
      <c r="M53" s="26">
        <f>IF('Simulasi Premi 1 (Personal)'!$E$38="Menurun",'Spek Produk'!M111,'Spek Produk'!M169)</f>
        <v>4.82</v>
      </c>
      <c r="N53" s="26">
        <f>IF('Simulasi Premi 1 (Personal)'!$E$38="Menurun",'Spek Produk'!N111,'Spek Produk'!N169)</f>
        <v>9.92</v>
      </c>
      <c r="O53" s="26">
        <f>IF('Simulasi Premi 1 (Personal)'!$E$38="Menurun",'Spek Produk'!O111,'Spek Produk'!O169)</f>
        <v>15.74</v>
      </c>
      <c r="P53" s="26">
        <f>IF('Simulasi Premi 1 (Personal)'!$E$38="Menurun",'Spek Produk'!P111,'Spek Produk'!P169)</f>
        <v>22.18</v>
      </c>
      <c r="Q53" s="26">
        <f>IF('Simulasi Premi 1 (Personal)'!$E$38="Menurun",'Spek Produk'!Q111,'Spek Produk'!Q169)</f>
        <v>29.15</v>
      </c>
      <c r="R53" s="26">
        <f>IF('Simulasi Premi 1 (Personal)'!$E$38="Menurun",'Spek Produk'!R111,'Spek Produk'!R169)</f>
        <v>36.53</v>
      </c>
      <c r="S53" s="26">
        <f>IF('Simulasi Premi 1 (Personal)'!$E$38="Menurun",'Spek Produk'!S111,'Spek Produk'!S169)</f>
        <v>44.28</v>
      </c>
      <c r="T53" s="26">
        <f>IF('Simulasi Premi 1 (Personal)'!$E$38="Menurun",'Spek Produk'!T111,'Spek Produk'!T169)</f>
        <v>52.32</v>
      </c>
      <c r="U53" s="26">
        <f>IF('Simulasi Premi 1 (Personal)'!$E$38="Menurun",'Spek Produk'!U111,'Spek Produk'!U169)</f>
        <v>60.58</v>
      </c>
      <c r="V53" s="26">
        <f>IF('Simulasi Premi 1 (Personal)'!$E$38="Menurun",'Spek Produk'!V111,'Spek Produk'!V169)</f>
        <v>69</v>
      </c>
      <c r="W53" s="26">
        <f>IF('Simulasi Premi 1 (Personal)'!$E$38="Menurun",'Spek Produk'!W111,'Spek Produk'!W169)</f>
        <v>77.510000000000005</v>
      </c>
      <c r="X53" s="26">
        <f>IF('Simulasi Premi 1 (Personal)'!$E$38="Menurun",'Spek Produk'!X111,'Spek Produk'!X169)</f>
        <v>86.07</v>
      </c>
      <c r="Y53" s="26">
        <f>IF('Simulasi Premi 1 (Personal)'!$E$38="Menurun",'Spek Produk'!Y111,'Spek Produk'!Y169)</f>
        <v>94.6</v>
      </c>
      <c r="Z53" s="26">
        <f>IF('Simulasi Premi 1 (Personal)'!$E$38="Menurun",'Spek Produk'!Z111,'Spek Produk'!Z169)</f>
        <v>103.04</v>
      </c>
      <c r="AA53" s="26">
        <f>IF('Simulasi Premi 1 (Personal)'!$E$38="Menurun",'Spek Produk'!AA111,'Spek Produk'!AA169)</f>
        <v>111.36</v>
      </c>
      <c r="AB53" s="26">
        <f>IF('Simulasi Premi 1 (Personal)'!$E$38="Menurun",'Spek Produk'!AB111,'Spek Produk'!AB169)</f>
        <v>0</v>
      </c>
      <c r="AC53" s="26">
        <f>IF('Simulasi Premi 1 (Personal)'!$E$38="Menurun",'Spek Produk'!AC111,'Spek Produk'!AC169)</f>
        <v>0</v>
      </c>
      <c r="AD53" s="26">
        <f>IF('Simulasi Premi 1 (Personal)'!$E$38="Menurun",'Spek Produk'!AD111,'Spek Produk'!AD169)</f>
        <v>0</v>
      </c>
      <c r="AE53" s="26">
        <f>IF('Simulasi Premi 1 (Personal)'!$E$38="Menurun",'Spek Produk'!AE111,'Spek Produk'!AE169)</f>
        <v>0</v>
      </c>
      <c r="AF53" s="26">
        <f>IF('Simulasi Premi 1 (Personal)'!$E$38="Menurun",'Spek Produk'!AF111,'Spek Produk'!AF169)</f>
        <v>0</v>
      </c>
      <c r="AG53" s="26">
        <f>IF('Simulasi Premi 1 (Personal)'!$E$38="Menurun",'Spek Produk'!AG111,'Spek Produk'!AG169)</f>
        <v>0</v>
      </c>
      <c r="AH53" s="26">
        <f>IF('Simulasi Premi 1 (Personal)'!$E$38="Menurun",'Spek Produk'!AH111,'Spek Produk'!AH169)</f>
        <v>0</v>
      </c>
      <c r="AI53" s="26">
        <f>IF('Simulasi Premi 1 (Personal)'!$E$38="Menurun",'Spek Produk'!AI111,'Spek Produk'!AI169)</f>
        <v>0</v>
      </c>
      <c r="AJ53" s="26">
        <f>IF('Simulasi Premi 1 (Personal)'!$E$38="Menurun",'Spek Produk'!AJ111,'Spek Produk'!AJ169)</f>
        <v>0</v>
      </c>
      <c r="AK53" s="26">
        <f>IF('Simulasi Premi 1 (Personal)'!$E$38="Menurun",'Spek Produk'!AK111,'Spek Produk'!AK169)</f>
        <v>0</v>
      </c>
      <c r="AL53" s="26">
        <f>IF('Simulasi Premi 1 (Personal)'!$E$38="Menurun",'Spek Produk'!AL111,'Spek Produk'!AL169)</f>
        <v>0</v>
      </c>
      <c r="AM53" s="26">
        <f>IF('Simulasi Premi 1 (Personal)'!$E$38="Menurun",'Spek Produk'!AM111,'Spek Produk'!AM169)</f>
        <v>0</v>
      </c>
      <c r="AN53" s="26">
        <f>IF('Simulasi Premi 1 (Personal)'!$E$38="Menurun",'Spek Produk'!AN111,'Spek Produk'!AN169)</f>
        <v>0</v>
      </c>
      <c r="AO53" s="26">
        <f>IF('Simulasi Premi 1 (Personal)'!$E$38="Menurun",'Spek Produk'!AO111,'Spek Produk'!AO169)</f>
        <v>0</v>
      </c>
      <c r="AP53" s="26">
        <f>IF('Simulasi Premi 1 (Personal)'!$E$38="Menurun",'Spek Produk'!AP111,'Spek Produk'!AP169)</f>
        <v>0</v>
      </c>
    </row>
    <row r="54" spans="11:42" x14ac:dyDescent="0.35">
      <c r="L54" s="24" t="str">
        <f t="shared" si="0"/>
        <v/>
      </c>
      <c r="M54" s="26">
        <f>IF('Simulasi Premi 1 (Personal)'!$E$38="Menurun",'Spek Produk'!M112,'Spek Produk'!M170)</f>
        <v>0</v>
      </c>
      <c r="N54" s="26">
        <f>IF('Simulasi Premi 1 (Personal)'!$E$38="Menurun",'Spek Produk'!N112,'Spek Produk'!N170)</f>
        <v>0</v>
      </c>
      <c r="O54" s="26">
        <f>IF('Simulasi Premi 1 (Personal)'!$E$38="Menurun",'Spek Produk'!O112,'Spek Produk'!O170)</f>
        <v>0</v>
      </c>
      <c r="P54" s="26">
        <f>IF('Simulasi Premi 1 (Personal)'!$E$38="Menurun",'Spek Produk'!P112,'Spek Produk'!P170)</f>
        <v>0</v>
      </c>
      <c r="Q54" s="26">
        <f>IF('Simulasi Premi 1 (Personal)'!$E$38="Menurun",'Spek Produk'!Q112,'Spek Produk'!Q170)</f>
        <v>0</v>
      </c>
      <c r="R54" s="26">
        <f>IF('Simulasi Premi 1 (Personal)'!$E$38="Menurun",'Spek Produk'!R112,'Spek Produk'!R170)</f>
        <v>0</v>
      </c>
      <c r="S54" s="26">
        <f>IF('Simulasi Premi 1 (Personal)'!$E$38="Menurun",'Spek Produk'!S112,'Spek Produk'!S170)</f>
        <v>0</v>
      </c>
      <c r="T54" s="26">
        <f>IF('Simulasi Premi 1 (Personal)'!$E$38="Menurun",'Spek Produk'!T112,'Spek Produk'!T170)</f>
        <v>0</v>
      </c>
      <c r="U54" s="26">
        <f>IF('Simulasi Premi 1 (Personal)'!$E$38="Menurun",'Spek Produk'!U112,'Spek Produk'!U170)</f>
        <v>0</v>
      </c>
      <c r="V54" s="26">
        <f>IF('Simulasi Premi 1 (Personal)'!$E$38="Menurun",'Spek Produk'!V112,'Spek Produk'!V170)</f>
        <v>0</v>
      </c>
      <c r="W54" s="26">
        <f>IF('Simulasi Premi 1 (Personal)'!$E$38="Menurun",'Spek Produk'!W112,'Spek Produk'!W170)</f>
        <v>0</v>
      </c>
      <c r="X54" s="26">
        <f>IF('Simulasi Premi 1 (Personal)'!$E$38="Menurun",'Spek Produk'!X112,'Spek Produk'!X170)</f>
        <v>0</v>
      </c>
      <c r="Y54" s="26">
        <f>IF('Simulasi Premi 1 (Personal)'!$E$38="Menurun",'Spek Produk'!Y112,'Spek Produk'!Y170)</f>
        <v>0</v>
      </c>
      <c r="Z54" s="26">
        <f>IF('Simulasi Premi 1 (Personal)'!$E$38="Menurun",'Spek Produk'!Z112,'Spek Produk'!Z170)</f>
        <v>0</v>
      </c>
      <c r="AA54" s="26">
        <f>IF('Simulasi Premi 1 (Personal)'!$E$38="Menurun",'Spek Produk'!AA112,'Spek Produk'!AA170)</f>
        <v>0</v>
      </c>
      <c r="AB54" s="26">
        <f>IF('Simulasi Premi 1 (Personal)'!$E$38="Menurun",'Spek Produk'!AB112,'Spek Produk'!AB170)</f>
        <v>0</v>
      </c>
      <c r="AC54" s="26">
        <f>IF('Simulasi Premi 1 (Personal)'!$E$38="Menurun",'Spek Produk'!AC112,'Spek Produk'!AC170)</f>
        <v>0</v>
      </c>
      <c r="AD54" s="26">
        <f>IF('Simulasi Premi 1 (Personal)'!$E$38="Menurun",'Spek Produk'!AD112,'Spek Produk'!AD170)</f>
        <v>0</v>
      </c>
      <c r="AE54" s="26">
        <f>IF('Simulasi Premi 1 (Personal)'!$E$38="Menurun",'Spek Produk'!AE112,'Spek Produk'!AE170)</f>
        <v>0</v>
      </c>
      <c r="AF54" s="26">
        <f>IF('Simulasi Premi 1 (Personal)'!$E$38="Menurun",'Spek Produk'!AF112,'Spek Produk'!AF170)</f>
        <v>0</v>
      </c>
      <c r="AG54" s="26">
        <f>IF('Simulasi Premi 1 (Personal)'!$E$38="Menurun",'Spek Produk'!AG112,'Spek Produk'!AG170)</f>
        <v>0</v>
      </c>
      <c r="AH54" s="26">
        <f>IF('Simulasi Premi 1 (Personal)'!$E$38="Menurun",'Spek Produk'!AH112,'Spek Produk'!AH170)</f>
        <v>0</v>
      </c>
      <c r="AI54" s="26">
        <f>IF('Simulasi Premi 1 (Personal)'!$E$38="Menurun",'Spek Produk'!AI112,'Spek Produk'!AI170)</f>
        <v>0</v>
      </c>
      <c r="AJ54" s="26">
        <f>IF('Simulasi Premi 1 (Personal)'!$E$38="Menurun",'Spek Produk'!AJ112,'Spek Produk'!AJ170)</f>
        <v>0</v>
      </c>
      <c r="AK54" s="26">
        <f>IF('Simulasi Premi 1 (Personal)'!$E$38="Menurun",'Spek Produk'!AK112,'Spek Produk'!AK170)</f>
        <v>0</v>
      </c>
      <c r="AL54" s="26">
        <f>IF('Simulasi Premi 1 (Personal)'!$E$38="Menurun",'Spek Produk'!AL112,'Spek Produk'!AL170)</f>
        <v>0</v>
      </c>
      <c r="AM54" s="26">
        <f>IF('Simulasi Premi 1 (Personal)'!$E$38="Menurun",'Spek Produk'!AM112,'Spek Produk'!AM170)</f>
        <v>0</v>
      </c>
      <c r="AN54" s="26">
        <f>IF('Simulasi Premi 1 (Personal)'!$E$38="Menurun",'Spek Produk'!AN112,'Spek Produk'!AN170)</f>
        <v>0</v>
      </c>
      <c r="AO54" s="26">
        <f>IF('Simulasi Premi 1 (Personal)'!$E$38="Menurun",'Spek Produk'!AO112,'Spek Produk'!AO170)</f>
        <v>0</v>
      </c>
      <c r="AP54" s="26">
        <f>IF('Simulasi Premi 1 (Personal)'!$E$38="Menurun",'Spek Produk'!AP112,'Spek Produk'!AP170)</f>
        <v>0</v>
      </c>
    </row>
    <row r="55" spans="11:42" x14ac:dyDescent="0.35">
      <c r="L55" s="24" t="str">
        <f t="shared" si="0"/>
        <v/>
      </c>
      <c r="M55" s="26">
        <f>IF('Simulasi Premi 1 (Personal)'!$E$38="Menurun",'Spek Produk'!M113,'Spek Produk'!M171)</f>
        <v>0</v>
      </c>
      <c r="N55" s="26">
        <f>IF('Simulasi Premi 1 (Personal)'!$E$38="Menurun",'Spek Produk'!N113,'Spek Produk'!N171)</f>
        <v>0</v>
      </c>
      <c r="O55" s="26">
        <f>IF('Simulasi Premi 1 (Personal)'!$E$38="Menurun",'Spek Produk'!O113,'Spek Produk'!O171)</f>
        <v>0</v>
      </c>
      <c r="P55" s="26">
        <f>IF('Simulasi Premi 1 (Personal)'!$E$38="Menurun",'Spek Produk'!P113,'Spek Produk'!P171)</f>
        <v>0</v>
      </c>
      <c r="Q55" s="26">
        <f>IF('Simulasi Premi 1 (Personal)'!$E$38="Menurun",'Spek Produk'!Q113,'Spek Produk'!Q171)</f>
        <v>0</v>
      </c>
      <c r="R55" s="26">
        <f>IF('Simulasi Premi 1 (Personal)'!$E$38="Menurun",'Spek Produk'!R113,'Spek Produk'!R171)</f>
        <v>0</v>
      </c>
      <c r="S55" s="26">
        <f>IF('Simulasi Premi 1 (Personal)'!$E$38="Menurun",'Spek Produk'!S113,'Spek Produk'!S171)</f>
        <v>0</v>
      </c>
      <c r="T55" s="26">
        <f>IF('Simulasi Premi 1 (Personal)'!$E$38="Menurun",'Spek Produk'!T113,'Spek Produk'!T171)</f>
        <v>0</v>
      </c>
      <c r="U55" s="26">
        <f>IF('Simulasi Premi 1 (Personal)'!$E$38="Menurun",'Spek Produk'!U113,'Spek Produk'!U171)</f>
        <v>0</v>
      </c>
      <c r="V55" s="26">
        <f>IF('Simulasi Premi 1 (Personal)'!$E$38="Menurun",'Spek Produk'!V113,'Spek Produk'!V171)</f>
        <v>0</v>
      </c>
      <c r="W55" s="26">
        <f>IF('Simulasi Premi 1 (Personal)'!$E$38="Menurun",'Spek Produk'!W113,'Spek Produk'!W171)</f>
        <v>0</v>
      </c>
      <c r="X55" s="26">
        <f>IF('Simulasi Premi 1 (Personal)'!$E$38="Menurun",'Spek Produk'!X113,'Spek Produk'!X171)</f>
        <v>0</v>
      </c>
      <c r="Y55" s="26">
        <f>IF('Simulasi Premi 1 (Personal)'!$E$38="Menurun",'Spek Produk'!Y113,'Spek Produk'!Y171)</f>
        <v>0</v>
      </c>
      <c r="Z55" s="26">
        <f>IF('Simulasi Premi 1 (Personal)'!$E$38="Menurun",'Spek Produk'!Z113,'Spek Produk'!Z171)</f>
        <v>0</v>
      </c>
      <c r="AA55" s="26">
        <f>IF('Simulasi Premi 1 (Personal)'!$E$38="Menurun",'Spek Produk'!AA113,'Spek Produk'!AA171)</f>
        <v>0</v>
      </c>
      <c r="AB55" s="26">
        <f>IF('Simulasi Premi 1 (Personal)'!$E$38="Menurun",'Spek Produk'!AB113,'Spek Produk'!AB171)</f>
        <v>0</v>
      </c>
      <c r="AC55" s="26">
        <f>IF('Simulasi Premi 1 (Personal)'!$E$38="Menurun",'Spek Produk'!AC113,'Spek Produk'!AC171)</f>
        <v>0</v>
      </c>
      <c r="AD55" s="26">
        <f>IF('Simulasi Premi 1 (Personal)'!$E$38="Menurun",'Spek Produk'!AD113,'Spek Produk'!AD171)</f>
        <v>0</v>
      </c>
      <c r="AE55" s="26">
        <f>IF('Simulasi Premi 1 (Personal)'!$E$38="Menurun",'Spek Produk'!AE113,'Spek Produk'!AE171)</f>
        <v>0</v>
      </c>
      <c r="AF55" s="26">
        <f>IF('Simulasi Premi 1 (Personal)'!$E$38="Menurun",'Spek Produk'!AF113,'Spek Produk'!AF171)</f>
        <v>0</v>
      </c>
      <c r="AG55" s="26">
        <f>IF('Simulasi Premi 1 (Personal)'!$E$38="Menurun",'Spek Produk'!AG113,'Spek Produk'!AG171)</f>
        <v>0</v>
      </c>
      <c r="AH55" s="26">
        <f>IF('Simulasi Premi 1 (Personal)'!$E$38="Menurun",'Spek Produk'!AH113,'Spek Produk'!AH171)</f>
        <v>0</v>
      </c>
      <c r="AI55" s="26">
        <f>IF('Simulasi Premi 1 (Personal)'!$E$38="Menurun",'Spek Produk'!AI113,'Spek Produk'!AI171)</f>
        <v>0</v>
      </c>
      <c r="AJ55" s="26">
        <f>IF('Simulasi Premi 1 (Personal)'!$E$38="Menurun",'Spek Produk'!AJ113,'Spek Produk'!AJ171)</f>
        <v>0</v>
      </c>
      <c r="AK55" s="26">
        <f>IF('Simulasi Premi 1 (Personal)'!$E$38="Menurun",'Spek Produk'!AK113,'Spek Produk'!AK171)</f>
        <v>0</v>
      </c>
      <c r="AL55" s="26">
        <f>IF('Simulasi Premi 1 (Personal)'!$E$38="Menurun",'Spek Produk'!AL113,'Spek Produk'!AL171)</f>
        <v>0</v>
      </c>
      <c r="AM55" s="26">
        <f>IF('Simulasi Premi 1 (Personal)'!$E$38="Menurun",'Spek Produk'!AM113,'Spek Produk'!AM171)</f>
        <v>0</v>
      </c>
      <c r="AN55" s="26">
        <f>IF('Simulasi Premi 1 (Personal)'!$E$38="Menurun",'Spek Produk'!AN113,'Spek Produk'!AN171)</f>
        <v>0</v>
      </c>
      <c r="AO55" s="26">
        <f>IF('Simulasi Premi 1 (Personal)'!$E$38="Menurun",'Spek Produk'!AO113,'Spek Produk'!AO171)</f>
        <v>0</v>
      </c>
      <c r="AP55" s="26">
        <f>IF('Simulasi Premi 1 (Personal)'!$E$38="Menurun",'Spek Produk'!AP113,'Spek Produk'!AP171)</f>
        <v>0</v>
      </c>
    </row>
    <row r="56" spans="11:42" x14ac:dyDescent="0.35">
      <c r="L56" s="24" t="str">
        <f t="shared" si="0"/>
        <v/>
      </c>
      <c r="M56" s="26">
        <f>IF('Simulasi Premi 1 (Personal)'!$E$38="Menurun",'Spek Produk'!M114,'Spek Produk'!M172)</f>
        <v>0</v>
      </c>
      <c r="N56" s="26">
        <f>IF('Simulasi Premi 1 (Personal)'!$E$38="Menurun",'Spek Produk'!N114,'Spek Produk'!N172)</f>
        <v>0</v>
      </c>
      <c r="O56" s="26">
        <f>IF('Simulasi Premi 1 (Personal)'!$E$38="Menurun",'Spek Produk'!O114,'Spek Produk'!O172)</f>
        <v>0</v>
      </c>
      <c r="P56" s="26">
        <f>IF('Simulasi Premi 1 (Personal)'!$E$38="Menurun",'Spek Produk'!P114,'Spek Produk'!P172)</f>
        <v>0</v>
      </c>
      <c r="Q56" s="26">
        <f>IF('Simulasi Premi 1 (Personal)'!$E$38="Menurun",'Spek Produk'!Q114,'Spek Produk'!Q172)</f>
        <v>0</v>
      </c>
      <c r="R56" s="26">
        <f>IF('Simulasi Premi 1 (Personal)'!$E$38="Menurun",'Spek Produk'!R114,'Spek Produk'!R172)</f>
        <v>0</v>
      </c>
      <c r="S56" s="26">
        <f>IF('Simulasi Premi 1 (Personal)'!$E$38="Menurun",'Spek Produk'!S114,'Spek Produk'!S172)</f>
        <v>0</v>
      </c>
      <c r="T56" s="26">
        <f>IF('Simulasi Premi 1 (Personal)'!$E$38="Menurun",'Spek Produk'!T114,'Spek Produk'!T172)</f>
        <v>0</v>
      </c>
      <c r="U56" s="26">
        <f>IF('Simulasi Premi 1 (Personal)'!$E$38="Menurun",'Spek Produk'!U114,'Spek Produk'!U172)</f>
        <v>0</v>
      </c>
      <c r="V56" s="26">
        <f>IF('Simulasi Premi 1 (Personal)'!$E$38="Menurun",'Spek Produk'!V114,'Spek Produk'!V172)</f>
        <v>0</v>
      </c>
      <c r="W56" s="26">
        <f>IF('Simulasi Premi 1 (Personal)'!$E$38="Menurun",'Spek Produk'!W114,'Spek Produk'!W172)</f>
        <v>0</v>
      </c>
      <c r="X56" s="26">
        <f>IF('Simulasi Premi 1 (Personal)'!$E$38="Menurun",'Spek Produk'!X114,'Spek Produk'!X172)</f>
        <v>0</v>
      </c>
      <c r="Y56" s="26">
        <f>IF('Simulasi Premi 1 (Personal)'!$E$38="Menurun",'Spek Produk'!Y114,'Spek Produk'!Y172)</f>
        <v>0</v>
      </c>
      <c r="Z56" s="26">
        <f>IF('Simulasi Premi 1 (Personal)'!$E$38="Menurun",'Spek Produk'!Z114,'Spek Produk'!Z172)</f>
        <v>0</v>
      </c>
      <c r="AA56" s="26">
        <f>IF('Simulasi Premi 1 (Personal)'!$E$38="Menurun",'Spek Produk'!AA114,'Spek Produk'!AA172)</f>
        <v>0</v>
      </c>
      <c r="AB56" s="26">
        <f>IF('Simulasi Premi 1 (Personal)'!$E$38="Menurun",'Spek Produk'!AB114,'Spek Produk'!AB172)</f>
        <v>0</v>
      </c>
      <c r="AC56" s="26">
        <f>IF('Simulasi Premi 1 (Personal)'!$E$38="Menurun",'Spek Produk'!AC114,'Spek Produk'!AC172)</f>
        <v>0</v>
      </c>
      <c r="AD56" s="26">
        <f>IF('Simulasi Premi 1 (Personal)'!$E$38="Menurun",'Spek Produk'!AD114,'Spek Produk'!AD172)</f>
        <v>0</v>
      </c>
      <c r="AE56" s="26">
        <f>IF('Simulasi Premi 1 (Personal)'!$E$38="Menurun",'Spek Produk'!AE114,'Spek Produk'!AE172)</f>
        <v>0</v>
      </c>
      <c r="AF56" s="26">
        <f>IF('Simulasi Premi 1 (Personal)'!$E$38="Menurun",'Spek Produk'!AF114,'Spek Produk'!AF172)</f>
        <v>0</v>
      </c>
      <c r="AG56" s="26">
        <f>IF('Simulasi Premi 1 (Personal)'!$E$38="Menurun",'Spek Produk'!AG114,'Spek Produk'!AG172)</f>
        <v>0</v>
      </c>
      <c r="AH56" s="26">
        <f>IF('Simulasi Premi 1 (Personal)'!$E$38="Menurun",'Spek Produk'!AH114,'Spek Produk'!AH172)</f>
        <v>0</v>
      </c>
      <c r="AI56" s="26">
        <f>IF('Simulasi Premi 1 (Personal)'!$E$38="Menurun",'Spek Produk'!AI114,'Spek Produk'!AI172)</f>
        <v>0</v>
      </c>
      <c r="AJ56" s="26">
        <f>IF('Simulasi Premi 1 (Personal)'!$E$38="Menurun",'Spek Produk'!AJ114,'Spek Produk'!AJ172)</f>
        <v>0</v>
      </c>
      <c r="AK56" s="26">
        <f>IF('Simulasi Premi 1 (Personal)'!$E$38="Menurun",'Spek Produk'!AK114,'Spek Produk'!AK172)</f>
        <v>0</v>
      </c>
      <c r="AL56" s="26">
        <f>IF('Simulasi Premi 1 (Personal)'!$E$38="Menurun",'Spek Produk'!AL114,'Spek Produk'!AL172)</f>
        <v>0</v>
      </c>
      <c r="AM56" s="26">
        <f>IF('Simulasi Premi 1 (Personal)'!$E$38="Menurun",'Spek Produk'!AM114,'Spek Produk'!AM172)</f>
        <v>0</v>
      </c>
      <c r="AN56" s="26">
        <f>IF('Simulasi Premi 1 (Personal)'!$E$38="Menurun",'Spek Produk'!AN114,'Spek Produk'!AN172)</f>
        <v>0</v>
      </c>
      <c r="AO56" s="26">
        <f>IF('Simulasi Premi 1 (Personal)'!$E$38="Menurun",'Spek Produk'!AO114,'Spek Produk'!AO172)</f>
        <v>0</v>
      </c>
      <c r="AP56" s="26">
        <f>IF('Simulasi Premi 1 (Personal)'!$E$38="Menurun",'Spek Produk'!AP114,'Spek Produk'!AP172)</f>
        <v>0</v>
      </c>
    </row>
    <row r="57" spans="11:42" x14ac:dyDescent="0.35">
      <c r="L57" s="24" t="str">
        <f t="shared" si="0"/>
        <v/>
      </c>
      <c r="M57" s="26">
        <f>IF('Simulasi Premi 1 (Personal)'!$E$38="Menurun",'Spek Produk'!M115,'Spek Produk'!M173)</f>
        <v>0</v>
      </c>
      <c r="N57" s="26">
        <f>IF('Simulasi Premi 1 (Personal)'!$E$38="Menurun",'Spek Produk'!N115,'Spek Produk'!N173)</f>
        <v>0</v>
      </c>
      <c r="O57" s="26">
        <f>IF('Simulasi Premi 1 (Personal)'!$E$38="Menurun",'Spek Produk'!O115,'Spek Produk'!O173)</f>
        <v>0</v>
      </c>
      <c r="P57" s="26">
        <f>IF('Simulasi Premi 1 (Personal)'!$E$38="Menurun",'Spek Produk'!P115,'Spek Produk'!P173)</f>
        <v>0</v>
      </c>
      <c r="Q57" s="26">
        <f>IF('Simulasi Premi 1 (Personal)'!$E$38="Menurun",'Spek Produk'!Q115,'Spek Produk'!Q173)</f>
        <v>0</v>
      </c>
      <c r="R57" s="26">
        <f>IF('Simulasi Premi 1 (Personal)'!$E$38="Menurun",'Spek Produk'!R115,'Spek Produk'!R173)</f>
        <v>0</v>
      </c>
      <c r="S57" s="26">
        <f>IF('Simulasi Premi 1 (Personal)'!$E$38="Menurun",'Spek Produk'!S115,'Spek Produk'!S173)</f>
        <v>0</v>
      </c>
      <c r="T57" s="26">
        <f>IF('Simulasi Premi 1 (Personal)'!$E$38="Menurun",'Spek Produk'!T115,'Spek Produk'!T173)</f>
        <v>0</v>
      </c>
      <c r="U57" s="26">
        <f>IF('Simulasi Premi 1 (Personal)'!$E$38="Menurun",'Spek Produk'!U115,'Spek Produk'!U173)</f>
        <v>0</v>
      </c>
      <c r="V57" s="26">
        <f>IF('Simulasi Premi 1 (Personal)'!$E$38="Menurun",'Spek Produk'!V115,'Spek Produk'!V173)</f>
        <v>0</v>
      </c>
      <c r="W57" s="26">
        <f>IF('Simulasi Premi 1 (Personal)'!$E$38="Menurun",'Spek Produk'!W115,'Spek Produk'!W173)</f>
        <v>0</v>
      </c>
      <c r="X57" s="26">
        <f>IF('Simulasi Premi 1 (Personal)'!$E$38="Menurun",'Spek Produk'!X115,'Spek Produk'!X173)</f>
        <v>0</v>
      </c>
      <c r="Y57" s="26">
        <f>IF('Simulasi Premi 1 (Personal)'!$E$38="Menurun",'Spek Produk'!Y115,'Spek Produk'!Y173)</f>
        <v>0</v>
      </c>
      <c r="Z57" s="26">
        <f>IF('Simulasi Premi 1 (Personal)'!$E$38="Menurun",'Spek Produk'!Z115,'Spek Produk'!Z173)</f>
        <v>0</v>
      </c>
      <c r="AA57" s="26">
        <f>IF('Simulasi Premi 1 (Personal)'!$E$38="Menurun",'Spek Produk'!AA115,'Spek Produk'!AA173)</f>
        <v>0</v>
      </c>
      <c r="AB57" s="26">
        <f>IF('Simulasi Premi 1 (Personal)'!$E$38="Menurun",'Spek Produk'!AB115,'Spek Produk'!AB173)</f>
        <v>0</v>
      </c>
      <c r="AC57" s="26">
        <f>IF('Simulasi Premi 1 (Personal)'!$E$38="Menurun",'Spek Produk'!AC115,'Spek Produk'!AC173)</f>
        <v>0</v>
      </c>
      <c r="AD57" s="26">
        <f>IF('Simulasi Premi 1 (Personal)'!$E$38="Menurun",'Spek Produk'!AD115,'Spek Produk'!AD173)</f>
        <v>0</v>
      </c>
      <c r="AE57" s="26">
        <f>IF('Simulasi Premi 1 (Personal)'!$E$38="Menurun",'Spek Produk'!AE115,'Spek Produk'!AE173)</f>
        <v>0</v>
      </c>
      <c r="AF57" s="26">
        <f>IF('Simulasi Premi 1 (Personal)'!$E$38="Menurun",'Spek Produk'!AF115,'Spek Produk'!AF173)</f>
        <v>0</v>
      </c>
      <c r="AG57" s="26">
        <f>IF('Simulasi Premi 1 (Personal)'!$E$38="Menurun",'Spek Produk'!AG115,'Spek Produk'!AG173)</f>
        <v>0</v>
      </c>
      <c r="AH57" s="26">
        <f>IF('Simulasi Premi 1 (Personal)'!$E$38="Menurun",'Spek Produk'!AH115,'Spek Produk'!AH173)</f>
        <v>0</v>
      </c>
      <c r="AI57" s="26">
        <f>IF('Simulasi Premi 1 (Personal)'!$E$38="Menurun",'Spek Produk'!AI115,'Spek Produk'!AI173)</f>
        <v>0</v>
      </c>
      <c r="AJ57" s="26">
        <f>IF('Simulasi Premi 1 (Personal)'!$E$38="Menurun",'Spek Produk'!AJ115,'Spek Produk'!AJ173)</f>
        <v>0</v>
      </c>
      <c r="AK57" s="26">
        <f>IF('Simulasi Premi 1 (Personal)'!$E$38="Menurun",'Spek Produk'!AK115,'Spek Produk'!AK173)</f>
        <v>0</v>
      </c>
      <c r="AL57" s="26">
        <f>IF('Simulasi Premi 1 (Personal)'!$E$38="Menurun",'Spek Produk'!AL115,'Spek Produk'!AL173)</f>
        <v>0</v>
      </c>
      <c r="AM57" s="26">
        <f>IF('Simulasi Premi 1 (Personal)'!$E$38="Menurun",'Spek Produk'!AM115,'Spek Produk'!AM173)</f>
        <v>0</v>
      </c>
      <c r="AN57" s="26">
        <f>IF('Simulasi Premi 1 (Personal)'!$E$38="Menurun",'Spek Produk'!AN115,'Spek Produk'!AN173)</f>
        <v>0</v>
      </c>
      <c r="AO57" s="26">
        <f>IF('Simulasi Premi 1 (Personal)'!$E$38="Menurun",'Spek Produk'!AO115,'Spek Produk'!AO173)</f>
        <v>0</v>
      </c>
      <c r="AP57" s="26">
        <f>IF('Simulasi Premi 1 (Personal)'!$E$38="Menurun",'Spek Produk'!AP115,'Spek Produk'!AP173)</f>
        <v>0</v>
      </c>
    </row>
    <row r="58" spans="11:42" x14ac:dyDescent="0.35">
      <c r="L58" s="24" t="str">
        <f t="shared" si="0"/>
        <v/>
      </c>
      <c r="M58" s="26">
        <f>IF('Simulasi Premi 1 (Personal)'!$E$38="Menurun",'Spek Produk'!M116,'Spek Produk'!M174)</f>
        <v>0</v>
      </c>
      <c r="N58" s="26">
        <f>IF('Simulasi Premi 1 (Personal)'!$E$38="Menurun",'Spek Produk'!N116,'Spek Produk'!N174)</f>
        <v>0</v>
      </c>
      <c r="O58" s="26">
        <f>IF('Simulasi Premi 1 (Personal)'!$E$38="Menurun",'Spek Produk'!O116,'Spek Produk'!O174)</f>
        <v>0</v>
      </c>
      <c r="P58" s="26">
        <f>IF('Simulasi Premi 1 (Personal)'!$E$38="Menurun",'Spek Produk'!P116,'Spek Produk'!P174)</f>
        <v>0</v>
      </c>
      <c r="Q58" s="26">
        <f>IF('Simulasi Premi 1 (Personal)'!$E$38="Menurun",'Spek Produk'!Q116,'Spek Produk'!Q174)</f>
        <v>0</v>
      </c>
      <c r="R58" s="26">
        <f>IF('Simulasi Premi 1 (Personal)'!$E$38="Menurun",'Spek Produk'!R116,'Spek Produk'!R174)</f>
        <v>0</v>
      </c>
      <c r="S58" s="26">
        <f>IF('Simulasi Premi 1 (Personal)'!$E$38="Menurun",'Spek Produk'!S116,'Spek Produk'!S174)</f>
        <v>0</v>
      </c>
      <c r="T58" s="26">
        <f>IF('Simulasi Premi 1 (Personal)'!$E$38="Menurun",'Spek Produk'!T116,'Spek Produk'!T174)</f>
        <v>0</v>
      </c>
      <c r="U58" s="26">
        <f>IF('Simulasi Premi 1 (Personal)'!$E$38="Menurun",'Spek Produk'!U116,'Spek Produk'!U174)</f>
        <v>0</v>
      </c>
      <c r="V58" s="26">
        <f>IF('Simulasi Premi 1 (Personal)'!$E$38="Menurun",'Spek Produk'!V116,'Spek Produk'!V174)</f>
        <v>0</v>
      </c>
      <c r="W58" s="26">
        <f>IF('Simulasi Premi 1 (Personal)'!$E$38="Menurun",'Spek Produk'!W116,'Spek Produk'!W174)</f>
        <v>0</v>
      </c>
      <c r="X58" s="26">
        <f>IF('Simulasi Premi 1 (Personal)'!$E$38="Menurun",'Spek Produk'!X116,'Spek Produk'!X174)</f>
        <v>0</v>
      </c>
      <c r="Y58" s="26">
        <f>IF('Simulasi Premi 1 (Personal)'!$E$38="Menurun",'Spek Produk'!Y116,'Spek Produk'!Y174)</f>
        <v>0</v>
      </c>
      <c r="Z58" s="26">
        <f>IF('Simulasi Premi 1 (Personal)'!$E$38="Menurun",'Spek Produk'!Z116,'Spek Produk'!Z174)</f>
        <v>0</v>
      </c>
      <c r="AA58" s="26">
        <f>IF('Simulasi Premi 1 (Personal)'!$E$38="Menurun",'Spek Produk'!AA116,'Spek Produk'!AA174)</f>
        <v>0</v>
      </c>
      <c r="AB58" s="26">
        <f>IF('Simulasi Premi 1 (Personal)'!$E$38="Menurun",'Spek Produk'!AB116,'Spek Produk'!AB174)</f>
        <v>0</v>
      </c>
      <c r="AC58" s="26">
        <f>IF('Simulasi Premi 1 (Personal)'!$E$38="Menurun",'Spek Produk'!AC116,'Spek Produk'!AC174)</f>
        <v>0</v>
      </c>
      <c r="AD58" s="26">
        <f>IF('Simulasi Premi 1 (Personal)'!$E$38="Menurun",'Spek Produk'!AD116,'Spek Produk'!AD174)</f>
        <v>0</v>
      </c>
      <c r="AE58" s="26">
        <f>IF('Simulasi Premi 1 (Personal)'!$E$38="Menurun",'Spek Produk'!AE116,'Spek Produk'!AE174)</f>
        <v>0</v>
      </c>
      <c r="AF58" s="26">
        <f>IF('Simulasi Premi 1 (Personal)'!$E$38="Menurun",'Spek Produk'!AF116,'Spek Produk'!AF174)</f>
        <v>0</v>
      </c>
      <c r="AG58" s="26">
        <f>IF('Simulasi Premi 1 (Personal)'!$E$38="Menurun",'Spek Produk'!AG116,'Spek Produk'!AG174)</f>
        <v>0</v>
      </c>
      <c r="AH58" s="26">
        <f>IF('Simulasi Premi 1 (Personal)'!$E$38="Menurun",'Spek Produk'!AH116,'Spek Produk'!AH174)</f>
        <v>0</v>
      </c>
      <c r="AI58" s="26">
        <f>IF('Simulasi Premi 1 (Personal)'!$E$38="Menurun",'Spek Produk'!AI116,'Spek Produk'!AI174)</f>
        <v>0</v>
      </c>
      <c r="AJ58" s="26">
        <f>IF('Simulasi Premi 1 (Personal)'!$E$38="Menurun",'Spek Produk'!AJ116,'Spek Produk'!AJ174)</f>
        <v>0</v>
      </c>
      <c r="AK58" s="26">
        <f>IF('Simulasi Premi 1 (Personal)'!$E$38="Menurun",'Spek Produk'!AK116,'Spek Produk'!AK174)</f>
        <v>0</v>
      </c>
      <c r="AL58" s="26">
        <f>IF('Simulasi Premi 1 (Personal)'!$E$38="Menurun",'Spek Produk'!AL116,'Spek Produk'!AL174)</f>
        <v>0</v>
      </c>
      <c r="AM58" s="26">
        <f>IF('Simulasi Premi 1 (Personal)'!$E$38="Menurun",'Spek Produk'!AM116,'Spek Produk'!AM174)</f>
        <v>0</v>
      </c>
      <c r="AN58" s="26">
        <f>IF('Simulasi Premi 1 (Personal)'!$E$38="Menurun",'Spek Produk'!AN116,'Spek Produk'!AN174)</f>
        <v>0</v>
      </c>
      <c r="AO58" s="26">
        <f>IF('Simulasi Premi 1 (Personal)'!$E$38="Menurun",'Spek Produk'!AO116,'Spek Produk'!AO174)</f>
        <v>0</v>
      </c>
      <c r="AP58" s="26">
        <f>IF('Simulasi Premi 1 (Personal)'!$E$38="Menurun",'Spek Produk'!AP116,'Spek Produk'!AP174)</f>
        <v>0</v>
      </c>
    </row>
    <row r="60" spans="11:42" x14ac:dyDescent="0.35">
      <c r="L60" s="91" t="s">
        <v>87</v>
      </c>
    </row>
    <row r="61" spans="11:42" x14ac:dyDescent="0.35">
      <c r="K61" s="90"/>
      <c r="L61" s="135" t="s">
        <v>44</v>
      </c>
      <c r="M61" s="136" t="s">
        <v>45</v>
      </c>
      <c r="N61" s="136"/>
      <c r="O61" s="136"/>
      <c r="P61" s="136"/>
      <c r="Q61" s="136"/>
      <c r="R61" s="136"/>
      <c r="S61" s="136"/>
      <c r="T61" s="136"/>
      <c r="U61" s="136"/>
      <c r="V61" s="136"/>
      <c r="W61" s="136"/>
      <c r="X61" s="136"/>
      <c r="Y61" s="136"/>
      <c r="Z61" s="136"/>
      <c r="AA61" s="136"/>
      <c r="AB61" s="136"/>
      <c r="AC61" s="136"/>
      <c r="AD61" s="136"/>
      <c r="AE61" s="136"/>
      <c r="AF61" s="136"/>
      <c r="AG61" s="136"/>
      <c r="AH61" s="136"/>
      <c r="AI61" s="136"/>
      <c r="AJ61" s="136"/>
      <c r="AK61" s="136"/>
      <c r="AL61" s="136"/>
      <c r="AM61" s="136"/>
      <c r="AN61" s="136"/>
      <c r="AO61" s="136"/>
      <c r="AP61" s="136"/>
    </row>
    <row r="62" spans="11:42" x14ac:dyDescent="0.35">
      <c r="L62" s="135"/>
      <c r="M62" s="23">
        <v>1</v>
      </c>
      <c r="N62" s="23">
        <v>2</v>
      </c>
      <c r="O62" s="23">
        <v>3</v>
      </c>
      <c r="P62" s="23">
        <v>4</v>
      </c>
      <c r="Q62" s="23">
        <v>5</v>
      </c>
      <c r="R62" s="23">
        <v>6</v>
      </c>
      <c r="S62" s="23">
        <v>7</v>
      </c>
      <c r="T62" s="23">
        <v>8</v>
      </c>
      <c r="U62" s="23">
        <v>9</v>
      </c>
      <c r="V62" s="23">
        <v>10</v>
      </c>
      <c r="W62" s="23">
        <v>11</v>
      </c>
      <c r="X62" s="23">
        <v>12</v>
      </c>
      <c r="Y62" s="23">
        <v>13</v>
      </c>
      <c r="Z62" s="23">
        <v>14</v>
      </c>
      <c r="AA62" s="23">
        <v>15</v>
      </c>
      <c r="AB62" s="23">
        <v>16</v>
      </c>
      <c r="AC62" s="23">
        <v>17</v>
      </c>
      <c r="AD62" s="23">
        <v>18</v>
      </c>
      <c r="AE62" s="23">
        <v>19</v>
      </c>
      <c r="AF62" s="23">
        <v>20</v>
      </c>
      <c r="AG62" s="23">
        <v>21</v>
      </c>
      <c r="AH62" s="23">
        <v>22</v>
      </c>
      <c r="AI62" s="23">
        <v>23</v>
      </c>
      <c r="AJ62" s="23">
        <v>24</v>
      </c>
      <c r="AK62" s="23">
        <v>25</v>
      </c>
      <c r="AL62" s="23">
        <v>26</v>
      </c>
      <c r="AM62" s="23">
        <v>27</v>
      </c>
      <c r="AN62" s="23">
        <v>28</v>
      </c>
      <c r="AO62" s="23">
        <v>29</v>
      </c>
      <c r="AP62" s="23">
        <v>30</v>
      </c>
    </row>
    <row r="63" spans="11:42" x14ac:dyDescent="0.35">
      <c r="L63" s="24" t="str">
        <f>IF(AND(ROW(K5)+12&gt;=$G$11,ROW(K5)+12&lt;=$I$11),ROW(K5)+12,"")</f>
        <v/>
      </c>
      <c r="M63" s="106"/>
      <c r="N63" s="106"/>
      <c r="O63" s="106"/>
      <c r="P63" s="106"/>
      <c r="Q63" s="106"/>
      <c r="R63" s="106"/>
      <c r="S63" s="106"/>
      <c r="T63" s="106"/>
      <c r="U63" s="106"/>
      <c r="V63" s="106"/>
      <c r="W63" s="106"/>
      <c r="X63" s="106"/>
      <c r="Y63" s="106"/>
      <c r="Z63" s="106"/>
      <c r="AA63" s="106"/>
      <c r="AB63" s="25"/>
      <c r="AC63" s="25"/>
      <c r="AD63" s="25"/>
      <c r="AE63" s="25"/>
      <c r="AF63" s="25"/>
      <c r="AG63" s="25"/>
      <c r="AH63" s="25"/>
      <c r="AI63" s="25"/>
      <c r="AJ63" s="25"/>
      <c r="AK63" s="25"/>
      <c r="AL63" s="25"/>
      <c r="AM63" s="25"/>
      <c r="AN63" s="25"/>
      <c r="AO63" s="25"/>
      <c r="AP63" s="25"/>
    </row>
    <row r="64" spans="11:42" x14ac:dyDescent="0.35">
      <c r="L64" s="24">
        <v>18</v>
      </c>
      <c r="M64" s="106">
        <v>4.82</v>
      </c>
      <c r="N64" s="106">
        <v>9.92</v>
      </c>
      <c r="O64" s="106">
        <v>15.74</v>
      </c>
      <c r="P64" s="106">
        <v>22.18</v>
      </c>
      <c r="Q64" s="106">
        <v>29.15</v>
      </c>
      <c r="R64" s="106">
        <v>36.53</v>
      </c>
      <c r="S64" s="106">
        <v>44.28</v>
      </c>
      <c r="T64" s="106">
        <v>52.32</v>
      </c>
      <c r="U64" s="106">
        <v>60.58</v>
      </c>
      <c r="V64" s="106">
        <v>69</v>
      </c>
      <c r="W64" s="106">
        <v>77.510000000000005</v>
      </c>
      <c r="X64" s="106">
        <v>86.07</v>
      </c>
      <c r="Y64" s="106">
        <v>94.6</v>
      </c>
      <c r="Z64" s="106">
        <v>103.04</v>
      </c>
      <c r="AA64" s="106">
        <v>111.36</v>
      </c>
      <c r="AB64" s="103"/>
      <c r="AC64" s="103"/>
      <c r="AD64" s="103"/>
      <c r="AE64" s="103"/>
      <c r="AF64" s="103"/>
      <c r="AG64" s="25"/>
      <c r="AH64" s="25"/>
      <c r="AI64" s="25"/>
      <c r="AJ64" s="25"/>
      <c r="AK64" s="25"/>
      <c r="AL64" s="25"/>
      <c r="AM64" s="25"/>
      <c r="AN64" s="25"/>
      <c r="AO64" s="25"/>
      <c r="AP64" s="25"/>
    </row>
    <row r="65" spans="12:42" x14ac:dyDescent="0.35">
      <c r="L65" s="24">
        <v>19</v>
      </c>
      <c r="M65" s="106">
        <v>4.82</v>
      </c>
      <c r="N65" s="106">
        <v>9.92</v>
      </c>
      <c r="O65" s="106">
        <v>15.74</v>
      </c>
      <c r="P65" s="106">
        <v>22.18</v>
      </c>
      <c r="Q65" s="106">
        <v>29.15</v>
      </c>
      <c r="R65" s="106">
        <v>36.53</v>
      </c>
      <c r="S65" s="106">
        <v>44.28</v>
      </c>
      <c r="T65" s="106">
        <v>52.32</v>
      </c>
      <c r="U65" s="106">
        <v>60.58</v>
      </c>
      <c r="V65" s="106">
        <v>69</v>
      </c>
      <c r="W65" s="106">
        <v>77.510000000000005</v>
      </c>
      <c r="X65" s="106">
        <v>86.07</v>
      </c>
      <c r="Y65" s="106">
        <v>94.6</v>
      </c>
      <c r="Z65" s="106">
        <v>103.04</v>
      </c>
      <c r="AA65" s="106">
        <v>111.36</v>
      </c>
      <c r="AB65" s="103"/>
      <c r="AC65" s="103"/>
      <c r="AD65" s="103"/>
      <c r="AE65" s="103"/>
      <c r="AF65" s="103"/>
      <c r="AG65" s="25"/>
      <c r="AH65" s="25"/>
      <c r="AI65" s="25"/>
      <c r="AJ65" s="25"/>
      <c r="AK65" s="25"/>
      <c r="AL65" s="25"/>
      <c r="AM65" s="25"/>
      <c r="AN65" s="25"/>
      <c r="AO65" s="25"/>
      <c r="AP65" s="25"/>
    </row>
    <row r="66" spans="12:42" x14ac:dyDescent="0.35">
      <c r="L66" s="24">
        <v>20</v>
      </c>
      <c r="M66" s="106">
        <v>4.82</v>
      </c>
      <c r="N66" s="106">
        <v>9.92</v>
      </c>
      <c r="O66" s="106">
        <v>15.74</v>
      </c>
      <c r="P66" s="106">
        <v>22.18</v>
      </c>
      <c r="Q66" s="106">
        <v>29.15</v>
      </c>
      <c r="R66" s="106">
        <v>36.53</v>
      </c>
      <c r="S66" s="106">
        <v>44.28</v>
      </c>
      <c r="T66" s="106">
        <v>52.32</v>
      </c>
      <c r="U66" s="106">
        <v>60.58</v>
      </c>
      <c r="V66" s="106">
        <v>69</v>
      </c>
      <c r="W66" s="106">
        <v>77.510000000000005</v>
      </c>
      <c r="X66" s="106">
        <v>86.07</v>
      </c>
      <c r="Y66" s="106">
        <v>94.6</v>
      </c>
      <c r="Z66" s="106">
        <v>103.04</v>
      </c>
      <c r="AA66" s="106">
        <v>111.36</v>
      </c>
      <c r="AB66" s="103"/>
      <c r="AC66" s="103"/>
      <c r="AD66" s="103"/>
      <c r="AE66" s="103"/>
      <c r="AF66" s="103"/>
      <c r="AG66" s="25"/>
      <c r="AH66" s="25"/>
      <c r="AI66" s="25"/>
      <c r="AJ66" s="25"/>
      <c r="AK66" s="25"/>
      <c r="AL66" s="25"/>
      <c r="AM66" s="25"/>
      <c r="AN66" s="25"/>
      <c r="AO66" s="25"/>
      <c r="AP66" s="25"/>
    </row>
    <row r="67" spans="12:42" x14ac:dyDescent="0.35">
      <c r="L67" s="24">
        <v>21</v>
      </c>
      <c r="M67" s="106">
        <v>4.82</v>
      </c>
      <c r="N67" s="106">
        <v>9.92</v>
      </c>
      <c r="O67" s="106">
        <v>15.74</v>
      </c>
      <c r="P67" s="106">
        <v>22.18</v>
      </c>
      <c r="Q67" s="106">
        <v>29.15</v>
      </c>
      <c r="R67" s="106">
        <v>36.53</v>
      </c>
      <c r="S67" s="106">
        <v>44.28</v>
      </c>
      <c r="T67" s="106">
        <v>52.32</v>
      </c>
      <c r="U67" s="106">
        <v>60.58</v>
      </c>
      <c r="V67" s="106">
        <v>69</v>
      </c>
      <c r="W67" s="106">
        <v>77.510000000000005</v>
      </c>
      <c r="X67" s="106">
        <v>86.07</v>
      </c>
      <c r="Y67" s="106">
        <v>94.6</v>
      </c>
      <c r="Z67" s="106">
        <v>103.04</v>
      </c>
      <c r="AA67" s="106">
        <v>111.36</v>
      </c>
      <c r="AB67" s="103"/>
      <c r="AC67" s="103"/>
      <c r="AD67" s="103"/>
      <c r="AE67" s="103"/>
      <c r="AF67" s="103"/>
      <c r="AG67" s="25"/>
      <c r="AH67" s="25"/>
      <c r="AI67" s="25"/>
      <c r="AJ67" s="25"/>
      <c r="AK67" s="25"/>
      <c r="AL67" s="25"/>
      <c r="AM67" s="25"/>
      <c r="AN67" s="25"/>
      <c r="AO67" s="25"/>
      <c r="AP67" s="25"/>
    </row>
    <row r="68" spans="12:42" x14ac:dyDescent="0.35">
      <c r="L68" s="24">
        <v>22</v>
      </c>
      <c r="M68" s="106">
        <v>4.82</v>
      </c>
      <c r="N68" s="106">
        <v>9.92</v>
      </c>
      <c r="O68" s="106">
        <v>15.74</v>
      </c>
      <c r="P68" s="106">
        <v>22.18</v>
      </c>
      <c r="Q68" s="106">
        <v>29.15</v>
      </c>
      <c r="R68" s="106">
        <v>36.53</v>
      </c>
      <c r="S68" s="106">
        <v>44.28</v>
      </c>
      <c r="T68" s="106">
        <v>52.32</v>
      </c>
      <c r="U68" s="106">
        <v>60.58</v>
      </c>
      <c r="V68" s="106">
        <v>69</v>
      </c>
      <c r="W68" s="106">
        <v>77.510000000000005</v>
      </c>
      <c r="X68" s="106">
        <v>86.07</v>
      </c>
      <c r="Y68" s="106">
        <v>94.6</v>
      </c>
      <c r="Z68" s="106">
        <v>103.04</v>
      </c>
      <c r="AA68" s="106">
        <v>111.36</v>
      </c>
      <c r="AB68" s="103"/>
      <c r="AC68" s="103"/>
      <c r="AD68" s="103"/>
      <c r="AE68" s="103"/>
      <c r="AF68" s="103"/>
      <c r="AG68" s="25"/>
      <c r="AH68" s="25"/>
      <c r="AI68" s="25"/>
      <c r="AJ68" s="25"/>
      <c r="AK68" s="25"/>
      <c r="AL68" s="25"/>
      <c r="AM68" s="25"/>
      <c r="AN68" s="25"/>
      <c r="AO68" s="25"/>
      <c r="AP68" s="25"/>
    </row>
    <row r="69" spans="12:42" x14ac:dyDescent="0.35">
      <c r="L69" s="24">
        <v>23</v>
      </c>
      <c r="M69" s="106">
        <v>4.82</v>
      </c>
      <c r="N69" s="106">
        <v>9.92</v>
      </c>
      <c r="O69" s="106">
        <v>15.74</v>
      </c>
      <c r="P69" s="106">
        <v>22.18</v>
      </c>
      <c r="Q69" s="106">
        <v>29.15</v>
      </c>
      <c r="R69" s="106">
        <v>36.53</v>
      </c>
      <c r="S69" s="106">
        <v>44.28</v>
      </c>
      <c r="T69" s="106">
        <v>52.32</v>
      </c>
      <c r="U69" s="106">
        <v>60.58</v>
      </c>
      <c r="V69" s="106">
        <v>69</v>
      </c>
      <c r="W69" s="106">
        <v>77.510000000000005</v>
      </c>
      <c r="X69" s="106">
        <v>86.07</v>
      </c>
      <c r="Y69" s="106">
        <v>94.6</v>
      </c>
      <c r="Z69" s="106">
        <v>103.04</v>
      </c>
      <c r="AA69" s="106">
        <v>111.36</v>
      </c>
      <c r="AB69" s="103"/>
      <c r="AC69" s="103"/>
      <c r="AD69" s="103"/>
      <c r="AE69" s="103"/>
      <c r="AF69" s="103"/>
      <c r="AG69" s="25"/>
      <c r="AH69" s="25"/>
      <c r="AI69" s="25"/>
      <c r="AJ69" s="25"/>
      <c r="AK69" s="25"/>
      <c r="AL69" s="25"/>
      <c r="AM69" s="25"/>
      <c r="AN69" s="25"/>
      <c r="AO69" s="25"/>
      <c r="AP69" s="25"/>
    </row>
    <row r="70" spans="12:42" x14ac:dyDescent="0.35">
      <c r="L70" s="24">
        <v>24</v>
      </c>
      <c r="M70" s="106">
        <v>4.82</v>
      </c>
      <c r="N70" s="106">
        <v>9.92</v>
      </c>
      <c r="O70" s="106">
        <v>15.74</v>
      </c>
      <c r="P70" s="106">
        <v>22.18</v>
      </c>
      <c r="Q70" s="106">
        <v>29.15</v>
      </c>
      <c r="R70" s="106">
        <v>36.53</v>
      </c>
      <c r="S70" s="106">
        <v>44.28</v>
      </c>
      <c r="T70" s="106">
        <v>52.32</v>
      </c>
      <c r="U70" s="106">
        <v>60.58</v>
      </c>
      <c r="V70" s="106">
        <v>69</v>
      </c>
      <c r="W70" s="106">
        <v>77.510000000000005</v>
      </c>
      <c r="X70" s="106">
        <v>86.07</v>
      </c>
      <c r="Y70" s="106">
        <v>94.6</v>
      </c>
      <c r="Z70" s="106">
        <v>103.04</v>
      </c>
      <c r="AA70" s="106">
        <v>111.36</v>
      </c>
      <c r="AB70" s="103"/>
      <c r="AC70" s="103"/>
      <c r="AD70" s="103"/>
      <c r="AE70" s="103"/>
      <c r="AF70" s="103"/>
      <c r="AG70" s="25"/>
      <c r="AH70" s="25"/>
      <c r="AI70" s="25"/>
      <c r="AJ70" s="25"/>
      <c r="AK70" s="25"/>
      <c r="AL70" s="25"/>
      <c r="AM70" s="25"/>
      <c r="AN70" s="25"/>
      <c r="AO70" s="25"/>
      <c r="AP70" s="25"/>
    </row>
    <row r="71" spans="12:42" x14ac:dyDescent="0.35">
      <c r="L71" s="24">
        <v>25</v>
      </c>
      <c r="M71" s="106">
        <v>4.82</v>
      </c>
      <c r="N71" s="106">
        <v>9.92</v>
      </c>
      <c r="O71" s="106">
        <v>15.74</v>
      </c>
      <c r="P71" s="106">
        <v>22.18</v>
      </c>
      <c r="Q71" s="106">
        <v>29.15</v>
      </c>
      <c r="R71" s="106">
        <v>36.53</v>
      </c>
      <c r="S71" s="106">
        <v>44.28</v>
      </c>
      <c r="T71" s="106">
        <v>52.32</v>
      </c>
      <c r="U71" s="106">
        <v>60.58</v>
      </c>
      <c r="V71" s="106">
        <v>69</v>
      </c>
      <c r="W71" s="106">
        <v>77.510000000000005</v>
      </c>
      <c r="X71" s="106">
        <v>86.07</v>
      </c>
      <c r="Y71" s="106">
        <v>94.6</v>
      </c>
      <c r="Z71" s="106">
        <v>103.04</v>
      </c>
      <c r="AA71" s="106">
        <v>111.36</v>
      </c>
      <c r="AB71" s="103"/>
      <c r="AC71" s="103"/>
      <c r="AD71" s="103"/>
      <c r="AE71" s="103"/>
      <c r="AF71" s="103"/>
      <c r="AG71" s="25"/>
      <c r="AH71" s="25"/>
      <c r="AI71" s="25"/>
      <c r="AJ71" s="25"/>
      <c r="AK71" s="25"/>
      <c r="AL71" s="25"/>
      <c r="AM71" s="25"/>
      <c r="AN71" s="25"/>
      <c r="AO71" s="25"/>
      <c r="AP71" s="25"/>
    </row>
    <row r="72" spans="12:42" x14ac:dyDescent="0.35">
      <c r="L72" s="24">
        <v>26</v>
      </c>
      <c r="M72" s="106">
        <v>4.82</v>
      </c>
      <c r="N72" s="106">
        <v>9.92</v>
      </c>
      <c r="O72" s="106">
        <v>15.74</v>
      </c>
      <c r="P72" s="106">
        <v>22.18</v>
      </c>
      <c r="Q72" s="106">
        <v>29.15</v>
      </c>
      <c r="R72" s="106">
        <v>36.53</v>
      </c>
      <c r="S72" s="106">
        <v>44.28</v>
      </c>
      <c r="T72" s="106">
        <v>52.32</v>
      </c>
      <c r="U72" s="106">
        <v>60.58</v>
      </c>
      <c r="V72" s="106">
        <v>69</v>
      </c>
      <c r="W72" s="106">
        <v>77.510000000000005</v>
      </c>
      <c r="X72" s="106">
        <v>86.07</v>
      </c>
      <c r="Y72" s="106">
        <v>94.6</v>
      </c>
      <c r="Z72" s="106">
        <v>103.04</v>
      </c>
      <c r="AA72" s="106">
        <v>111.36</v>
      </c>
      <c r="AB72" s="103"/>
      <c r="AC72" s="103"/>
      <c r="AD72" s="103"/>
      <c r="AE72" s="103"/>
      <c r="AF72" s="103"/>
      <c r="AG72" s="25"/>
      <c r="AH72" s="25"/>
      <c r="AI72" s="25"/>
      <c r="AJ72" s="25"/>
      <c r="AK72" s="25"/>
      <c r="AL72" s="25"/>
      <c r="AM72" s="25"/>
      <c r="AN72" s="25"/>
      <c r="AO72" s="25"/>
      <c r="AP72" s="25"/>
    </row>
    <row r="73" spans="12:42" x14ac:dyDescent="0.35">
      <c r="L73" s="24">
        <v>27</v>
      </c>
      <c r="M73" s="106">
        <v>4.82</v>
      </c>
      <c r="N73" s="106">
        <v>9.92</v>
      </c>
      <c r="O73" s="106">
        <v>15.74</v>
      </c>
      <c r="P73" s="106">
        <v>22.18</v>
      </c>
      <c r="Q73" s="106">
        <v>29.15</v>
      </c>
      <c r="R73" s="106">
        <v>36.53</v>
      </c>
      <c r="S73" s="106">
        <v>44.28</v>
      </c>
      <c r="T73" s="106">
        <v>52.32</v>
      </c>
      <c r="U73" s="106">
        <v>60.58</v>
      </c>
      <c r="V73" s="106">
        <v>69</v>
      </c>
      <c r="W73" s="106">
        <v>77.510000000000005</v>
      </c>
      <c r="X73" s="106">
        <v>86.07</v>
      </c>
      <c r="Y73" s="106">
        <v>94.6</v>
      </c>
      <c r="Z73" s="106">
        <v>103.04</v>
      </c>
      <c r="AA73" s="106">
        <v>111.36</v>
      </c>
      <c r="AB73" s="103"/>
      <c r="AC73" s="103"/>
      <c r="AD73" s="103"/>
      <c r="AE73" s="103"/>
      <c r="AF73" s="103"/>
      <c r="AG73" s="25"/>
      <c r="AH73" s="25"/>
      <c r="AI73" s="25"/>
      <c r="AJ73" s="25"/>
      <c r="AK73" s="25"/>
      <c r="AL73" s="25"/>
      <c r="AM73" s="25"/>
      <c r="AN73" s="25"/>
      <c r="AO73" s="25"/>
      <c r="AP73" s="25"/>
    </row>
    <row r="74" spans="12:42" x14ac:dyDescent="0.35">
      <c r="L74" s="24">
        <v>28</v>
      </c>
      <c r="M74" s="106">
        <v>4.82</v>
      </c>
      <c r="N74" s="106">
        <v>9.92</v>
      </c>
      <c r="O74" s="106">
        <v>15.74</v>
      </c>
      <c r="P74" s="106">
        <v>22.18</v>
      </c>
      <c r="Q74" s="106">
        <v>29.15</v>
      </c>
      <c r="R74" s="106">
        <v>36.53</v>
      </c>
      <c r="S74" s="106">
        <v>44.28</v>
      </c>
      <c r="T74" s="106">
        <v>52.32</v>
      </c>
      <c r="U74" s="106">
        <v>60.58</v>
      </c>
      <c r="V74" s="106">
        <v>69</v>
      </c>
      <c r="W74" s="106">
        <v>77.510000000000005</v>
      </c>
      <c r="X74" s="106">
        <v>86.07</v>
      </c>
      <c r="Y74" s="106">
        <v>94.6</v>
      </c>
      <c r="Z74" s="106">
        <v>103.04</v>
      </c>
      <c r="AA74" s="106">
        <v>111.36</v>
      </c>
      <c r="AB74" s="103"/>
      <c r="AC74" s="103"/>
      <c r="AD74" s="103"/>
      <c r="AE74" s="103"/>
      <c r="AF74" s="103"/>
      <c r="AG74" s="25"/>
      <c r="AH74" s="25"/>
      <c r="AI74" s="25"/>
      <c r="AJ74" s="25"/>
      <c r="AK74" s="25"/>
      <c r="AL74" s="25"/>
      <c r="AM74" s="25"/>
      <c r="AN74" s="25"/>
      <c r="AO74" s="25"/>
      <c r="AP74" s="25"/>
    </row>
    <row r="75" spans="12:42" x14ac:dyDescent="0.35">
      <c r="L75" s="24">
        <v>29</v>
      </c>
      <c r="M75" s="106">
        <v>4.82</v>
      </c>
      <c r="N75" s="106">
        <v>9.92</v>
      </c>
      <c r="O75" s="106">
        <v>15.74</v>
      </c>
      <c r="P75" s="106">
        <v>22.18</v>
      </c>
      <c r="Q75" s="106">
        <v>29.15</v>
      </c>
      <c r="R75" s="106">
        <v>36.53</v>
      </c>
      <c r="S75" s="106">
        <v>44.28</v>
      </c>
      <c r="T75" s="106">
        <v>52.32</v>
      </c>
      <c r="U75" s="106">
        <v>60.58</v>
      </c>
      <c r="V75" s="106">
        <v>69</v>
      </c>
      <c r="W75" s="106">
        <v>77.510000000000005</v>
      </c>
      <c r="X75" s="106">
        <v>86.07</v>
      </c>
      <c r="Y75" s="106">
        <v>94.6</v>
      </c>
      <c r="Z75" s="106">
        <v>103.04</v>
      </c>
      <c r="AA75" s="106">
        <v>111.36</v>
      </c>
      <c r="AB75" s="103"/>
      <c r="AC75" s="103"/>
      <c r="AD75" s="103"/>
      <c r="AE75" s="103"/>
      <c r="AF75" s="103"/>
      <c r="AG75" s="25"/>
      <c r="AH75" s="25"/>
      <c r="AI75" s="25"/>
      <c r="AJ75" s="25"/>
      <c r="AK75" s="25"/>
      <c r="AL75" s="25"/>
      <c r="AM75" s="25"/>
      <c r="AN75" s="25"/>
      <c r="AO75" s="25"/>
      <c r="AP75" s="25"/>
    </row>
    <row r="76" spans="12:42" x14ac:dyDescent="0.35">
      <c r="L76" s="24">
        <v>30</v>
      </c>
      <c r="M76" s="106">
        <v>4.82</v>
      </c>
      <c r="N76" s="106">
        <v>9.92</v>
      </c>
      <c r="O76" s="106">
        <v>15.74</v>
      </c>
      <c r="P76" s="106">
        <v>22.18</v>
      </c>
      <c r="Q76" s="106">
        <v>29.15</v>
      </c>
      <c r="R76" s="106">
        <v>36.53</v>
      </c>
      <c r="S76" s="106">
        <v>44.28</v>
      </c>
      <c r="T76" s="106">
        <v>52.32</v>
      </c>
      <c r="U76" s="106">
        <v>60.58</v>
      </c>
      <c r="V76" s="106">
        <v>69</v>
      </c>
      <c r="W76" s="106">
        <v>77.510000000000005</v>
      </c>
      <c r="X76" s="106">
        <v>86.07</v>
      </c>
      <c r="Y76" s="106">
        <v>94.6</v>
      </c>
      <c r="Z76" s="106">
        <v>103.04</v>
      </c>
      <c r="AA76" s="106">
        <v>111.36</v>
      </c>
      <c r="AB76" s="103"/>
      <c r="AC76" s="103"/>
      <c r="AD76" s="103"/>
      <c r="AE76" s="103"/>
      <c r="AF76" s="103"/>
      <c r="AG76" s="25"/>
      <c r="AH76" s="25"/>
      <c r="AI76" s="25"/>
      <c r="AJ76" s="25"/>
      <c r="AK76" s="25"/>
      <c r="AL76" s="25"/>
      <c r="AM76" s="25"/>
      <c r="AN76" s="25"/>
      <c r="AO76" s="25"/>
      <c r="AP76" s="25"/>
    </row>
    <row r="77" spans="12:42" x14ac:dyDescent="0.35">
      <c r="L77" s="24">
        <v>31</v>
      </c>
      <c r="M77" s="106">
        <v>4.82</v>
      </c>
      <c r="N77" s="106">
        <v>9.92</v>
      </c>
      <c r="O77" s="106">
        <v>15.74</v>
      </c>
      <c r="P77" s="106">
        <v>22.18</v>
      </c>
      <c r="Q77" s="106">
        <v>29.15</v>
      </c>
      <c r="R77" s="106">
        <v>36.53</v>
      </c>
      <c r="S77" s="106">
        <v>44.28</v>
      </c>
      <c r="T77" s="106">
        <v>52.32</v>
      </c>
      <c r="U77" s="106">
        <v>60.58</v>
      </c>
      <c r="V77" s="106">
        <v>69</v>
      </c>
      <c r="W77" s="106">
        <v>77.510000000000005</v>
      </c>
      <c r="X77" s="106">
        <v>86.07</v>
      </c>
      <c r="Y77" s="106">
        <v>94.6</v>
      </c>
      <c r="Z77" s="106">
        <v>103.04</v>
      </c>
      <c r="AA77" s="106">
        <v>111.36</v>
      </c>
      <c r="AB77" s="103"/>
      <c r="AC77" s="103"/>
      <c r="AD77" s="103"/>
      <c r="AE77" s="103"/>
      <c r="AF77" s="103"/>
      <c r="AG77" s="25"/>
      <c r="AH77" s="25"/>
      <c r="AI77" s="25"/>
      <c r="AJ77" s="25"/>
      <c r="AK77" s="25"/>
      <c r="AL77" s="25"/>
      <c r="AM77" s="25"/>
      <c r="AN77" s="25"/>
      <c r="AO77" s="25"/>
      <c r="AP77" s="25"/>
    </row>
    <row r="78" spans="12:42" x14ac:dyDescent="0.35">
      <c r="L78" s="24">
        <v>32</v>
      </c>
      <c r="M78" s="106">
        <v>4.82</v>
      </c>
      <c r="N78" s="106">
        <v>9.92</v>
      </c>
      <c r="O78" s="106">
        <v>15.74</v>
      </c>
      <c r="P78" s="106">
        <v>22.18</v>
      </c>
      <c r="Q78" s="106">
        <v>29.15</v>
      </c>
      <c r="R78" s="106">
        <v>36.53</v>
      </c>
      <c r="S78" s="106">
        <v>44.28</v>
      </c>
      <c r="T78" s="106">
        <v>52.32</v>
      </c>
      <c r="U78" s="106">
        <v>60.58</v>
      </c>
      <c r="V78" s="106">
        <v>69</v>
      </c>
      <c r="W78" s="106">
        <v>77.510000000000005</v>
      </c>
      <c r="X78" s="106">
        <v>86.07</v>
      </c>
      <c r="Y78" s="106">
        <v>94.6</v>
      </c>
      <c r="Z78" s="106">
        <v>103.04</v>
      </c>
      <c r="AA78" s="106">
        <v>111.36</v>
      </c>
      <c r="AB78" s="103"/>
      <c r="AC78" s="103"/>
      <c r="AD78" s="103"/>
      <c r="AE78" s="103"/>
      <c r="AF78" s="103"/>
      <c r="AG78" s="25"/>
      <c r="AH78" s="25"/>
      <c r="AI78" s="25"/>
      <c r="AJ78" s="25"/>
      <c r="AK78" s="25"/>
      <c r="AL78" s="25"/>
      <c r="AM78" s="25"/>
      <c r="AN78" s="25"/>
      <c r="AO78" s="25"/>
      <c r="AP78" s="25"/>
    </row>
    <row r="79" spans="12:42" x14ac:dyDescent="0.35">
      <c r="L79" s="24">
        <v>33</v>
      </c>
      <c r="M79" s="106">
        <v>4.82</v>
      </c>
      <c r="N79" s="106">
        <v>9.92</v>
      </c>
      <c r="O79" s="106">
        <v>15.74</v>
      </c>
      <c r="P79" s="106">
        <v>22.18</v>
      </c>
      <c r="Q79" s="106">
        <v>29.15</v>
      </c>
      <c r="R79" s="106">
        <v>36.53</v>
      </c>
      <c r="S79" s="106">
        <v>44.28</v>
      </c>
      <c r="T79" s="106">
        <v>52.32</v>
      </c>
      <c r="U79" s="106">
        <v>60.58</v>
      </c>
      <c r="V79" s="106">
        <v>69</v>
      </c>
      <c r="W79" s="106">
        <v>77.510000000000005</v>
      </c>
      <c r="X79" s="106">
        <v>86.07</v>
      </c>
      <c r="Y79" s="106">
        <v>94.6</v>
      </c>
      <c r="Z79" s="106">
        <v>103.04</v>
      </c>
      <c r="AA79" s="106">
        <v>111.36</v>
      </c>
      <c r="AB79" s="103"/>
      <c r="AC79" s="103"/>
      <c r="AD79" s="103"/>
      <c r="AE79" s="103"/>
      <c r="AF79" s="103"/>
      <c r="AG79" s="25"/>
      <c r="AH79" s="25"/>
      <c r="AI79" s="25"/>
      <c r="AJ79" s="25"/>
      <c r="AK79" s="25"/>
      <c r="AL79" s="25"/>
      <c r="AM79" s="25"/>
      <c r="AN79" s="25"/>
      <c r="AO79" s="25"/>
      <c r="AP79" s="25"/>
    </row>
    <row r="80" spans="12:42" x14ac:dyDescent="0.35">
      <c r="L80" s="24">
        <v>34</v>
      </c>
      <c r="M80" s="106">
        <v>4.82</v>
      </c>
      <c r="N80" s="106">
        <v>9.92</v>
      </c>
      <c r="O80" s="106">
        <v>15.74</v>
      </c>
      <c r="P80" s="106">
        <v>22.18</v>
      </c>
      <c r="Q80" s="106">
        <v>29.15</v>
      </c>
      <c r="R80" s="106">
        <v>36.53</v>
      </c>
      <c r="S80" s="106">
        <v>44.28</v>
      </c>
      <c r="T80" s="106">
        <v>52.32</v>
      </c>
      <c r="U80" s="106">
        <v>60.58</v>
      </c>
      <c r="V80" s="106">
        <v>69</v>
      </c>
      <c r="W80" s="106">
        <v>77.510000000000005</v>
      </c>
      <c r="X80" s="106">
        <v>86.07</v>
      </c>
      <c r="Y80" s="106">
        <v>94.6</v>
      </c>
      <c r="Z80" s="106">
        <v>103.04</v>
      </c>
      <c r="AA80" s="106">
        <v>111.36</v>
      </c>
      <c r="AB80" s="103"/>
      <c r="AC80" s="103"/>
      <c r="AD80" s="103"/>
      <c r="AE80" s="103"/>
      <c r="AF80" s="103"/>
      <c r="AG80" s="25"/>
      <c r="AH80" s="25"/>
      <c r="AI80" s="25"/>
      <c r="AJ80" s="25"/>
      <c r="AK80" s="25"/>
      <c r="AL80" s="25"/>
      <c r="AM80" s="25"/>
      <c r="AN80" s="25"/>
      <c r="AO80" s="25"/>
      <c r="AP80" s="25"/>
    </row>
    <row r="81" spans="12:42" x14ac:dyDescent="0.35">
      <c r="L81" s="24">
        <v>35</v>
      </c>
      <c r="M81" s="106">
        <v>4.82</v>
      </c>
      <c r="N81" s="106">
        <v>9.92</v>
      </c>
      <c r="O81" s="106">
        <v>15.74</v>
      </c>
      <c r="P81" s="106">
        <v>22.18</v>
      </c>
      <c r="Q81" s="106">
        <v>29.15</v>
      </c>
      <c r="R81" s="106">
        <v>36.53</v>
      </c>
      <c r="S81" s="106">
        <v>44.28</v>
      </c>
      <c r="T81" s="106">
        <v>52.32</v>
      </c>
      <c r="U81" s="106">
        <v>60.58</v>
      </c>
      <c r="V81" s="106">
        <v>69</v>
      </c>
      <c r="W81" s="106">
        <v>77.510000000000005</v>
      </c>
      <c r="X81" s="106">
        <v>86.07</v>
      </c>
      <c r="Y81" s="106">
        <v>94.6</v>
      </c>
      <c r="Z81" s="106">
        <v>103.04</v>
      </c>
      <c r="AA81" s="106">
        <v>111.36</v>
      </c>
      <c r="AB81" s="103"/>
      <c r="AC81" s="103"/>
      <c r="AD81" s="103"/>
      <c r="AE81" s="103"/>
      <c r="AF81" s="103"/>
      <c r="AG81" s="25"/>
      <c r="AH81" s="25"/>
      <c r="AI81" s="25"/>
      <c r="AJ81" s="25"/>
      <c r="AK81" s="25"/>
      <c r="AL81" s="25"/>
      <c r="AM81" s="25"/>
      <c r="AN81" s="25"/>
      <c r="AO81" s="25"/>
      <c r="AP81" s="25"/>
    </row>
    <row r="82" spans="12:42" x14ac:dyDescent="0.35">
      <c r="L82" s="24">
        <v>36</v>
      </c>
      <c r="M82" s="106">
        <v>4.82</v>
      </c>
      <c r="N82" s="106">
        <v>9.92</v>
      </c>
      <c r="O82" s="106">
        <v>15.74</v>
      </c>
      <c r="P82" s="106">
        <v>22.18</v>
      </c>
      <c r="Q82" s="106">
        <v>29.15</v>
      </c>
      <c r="R82" s="106">
        <v>36.53</v>
      </c>
      <c r="S82" s="106">
        <v>44.28</v>
      </c>
      <c r="T82" s="106">
        <v>52.32</v>
      </c>
      <c r="U82" s="106">
        <v>60.58</v>
      </c>
      <c r="V82" s="106">
        <v>69</v>
      </c>
      <c r="W82" s="106">
        <v>77.510000000000005</v>
      </c>
      <c r="X82" s="106">
        <v>86.07</v>
      </c>
      <c r="Y82" s="106">
        <v>94.6</v>
      </c>
      <c r="Z82" s="106">
        <v>103.04</v>
      </c>
      <c r="AA82" s="106">
        <v>111.36</v>
      </c>
      <c r="AB82" s="103"/>
      <c r="AC82" s="103"/>
      <c r="AD82" s="103"/>
      <c r="AE82" s="103"/>
      <c r="AF82" s="103"/>
      <c r="AG82" s="25"/>
      <c r="AH82" s="25"/>
      <c r="AI82" s="25"/>
      <c r="AJ82" s="25"/>
      <c r="AK82" s="25"/>
      <c r="AL82" s="25"/>
      <c r="AM82" s="25"/>
      <c r="AN82" s="25"/>
      <c r="AO82" s="25"/>
      <c r="AP82" s="25"/>
    </row>
    <row r="83" spans="12:42" x14ac:dyDescent="0.35">
      <c r="L83" s="24">
        <v>37</v>
      </c>
      <c r="M83" s="106">
        <v>4.82</v>
      </c>
      <c r="N83" s="106">
        <v>9.92</v>
      </c>
      <c r="O83" s="106">
        <v>15.74</v>
      </c>
      <c r="P83" s="106">
        <v>22.18</v>
      </c>
      <c r="Q83" s="106">
        <v>29.15</v>
      </c>
      <c r="R83" s="106">
        <v>36.53</v>
      </c>
      <c r="S83" s="106">
        <v>44.28</v>
      </c>
      <c r="T83" s="106">
        <v>52.32</v>
      </c>
      <c r="U83" s="106">
        <v>60.58</v>
      </c>
      <c r="V83" s="106">
        <v>69</v>
      </c>
      <c r="W83" s="106">
        <v>77.510000000000005</v>
      </c>
      <c r="X83" s="106">
        <v>86.07</v>
      </c>
      <c r="Y83" s="106">
        <v>94.6</v>
      </c>
      <c r="Z83" s="106">
        <v>103.04</v>
      </c>
      <c r="AA83" s="106">
        <v>111.36</v>
      </c>
      <c r="AB83" s="103"/>
      <c r="AC83" s="103"/>
      <c r="AD83" s="103"/>
      <c r="AE83" s="103"/>
      <c r="AF83" s="103"/>
      <c r="AG83" s="25"/>
      <c r="AH83" s="25"/>
      <c r="AI83" s="25"/>
      <c r="AJ83" s="25"/>
      <c r="AK83" s="25"/>
      <c r="AL83" s="25"/>
      <c r="AM83" s="25"/>
      <c r="AN83" s="25"/>
      <c r="AO83" s="25"/>
      <c r="AP83" s="25"/>
    </row>
    <row r="84" spans="12:42" x14ac:dyDescent="0.35">
      <c r="L84" s="24">
        <v>38</v>
      </c>
      <c r="M84" s="106">
        <v>4.82</v>
      </c>
      <c r="N84" s="106">
        <v>9.92</v>
      </c>
      <c r="O84" s="106">
        <v>15.74</v>
      </c>
      <c r="P84" s="106">
        <v>22.18</v>
      </c>
      <c r="Q84" s="106">
        <v>29.15</v>
      </c>
      <c r="R84" s="106">
        <v>36.53</v>
      </c>
      <c r="S84" s="106">
        <v>44.28</v>
      </c>
      <c r="T84" s="106">
        <v>52.32</v>
      </c>
      <c r="U84" s="106">
        <v>60.58</v>
      </c>
      <c r="V84" s="106">
        <v>69</v>
      </c>
      <c r="W84" s="106">
        <v>77.510000000000005</v>
      </c>
      <c r="X84" s="106">
        <v>86.07</v>
      </c>
      <c r="Y84" s="106">
        <v>94.6</v>
      </c>
      <c r="Z84" s="106">
        <v>103.04</v>
      </c>
      <c r="AA84" s="106">
        <v>111.36</v>
      </c>
      <c r="AB84" s="103"/>
      <c r="AC84" s="103"/>
      <c r="AD84" s="103"/>
      <c r="AE84" s="103"/>
      <c r="AF84" s="103"/>
      <c r="AG84" s="25"/>
      <c r="AH84" s="25"/>
      <c r="AI84" s="25"/>
      <c r="AJ84" s="25"/>
      <c r="AK84" s="25"/>
      <c r="AL84" s="25"/>
      <c r="AM84" s="25"/>
      <c r="AN84" s="25"/>
      <c r="AO84" s="25"/>
      <c r="AP84" s="25"/>
    </row>
    <row r="85" spans="12:42" x14ac:dyDescent="0.35">
      <c r="L85" s="24">
        <v>39</v>
      </c>
      <c r="M85" s="106">
        <v>4.82</v>
      </c>
      <c r="N85" s="106">
        <v>9.92</v>
      </c>
      <c r="O85" s="106">
        <v>15.74</v>
      </c>
      <c r="P85" s="106">
        <v>22.18</v>
      </c>
      <c r="Q85" s="106">
        <v>29.15</v>
      </c>
      <c r="R85" s="106">
        <v>36.53</v>
      </c>
      <c r="S85" s="106">
        <v>44.28</v>
      </c>
      <c r="T85" s="106">
        <v>52.32</v>
      </c>
      <c r="U85" s="106">
        <v>60.58</v>
      </c>
      <c r="V85" s="106">
        <v>69</v>
      </c>
      <c r="W85" s="106">
        <v>77.510000000000005</v>
      </c>
      <c r="X85" s="106">
        <v>86.07</v>
      </c>
      <c r="Y85" s="106">
        <v>94.6</v>
      </c>
      <c r="Z85" s="106">
        <v>103.04</v>
      </c>
      <c r="AA85" s="106">
        <v>111.36</v>
      </c>
      <c r="AB85" s="103"/>
      <c r="AC85" s="103"/>
      <c r="AD85" s="103"/>
      <c r="AE85" s="103"/>
      <c r="AF85" s="103"/>
      <c r="AG85" s="25"/>
      <c r="AH85" s="25"/>
      <c r="AI85" s="25"/>
      <c r="AJ85" s="25"/>
      <c r="AK85" s="25"/>
      <c r="AL85" s="25"/>
      <c r="AM85" s="25"/>
      <c r="AN85" s="25"/>
      <c r="AO85" s="25"/>
      <c r="AP85" s="25"/>
    </row>
    <row r="86" spans="12:42" x14ac:dyDescent="0.35">
      <c r="L86" s="24">
        <v>40</v>
      </c>
      <c r="M86" s="106">
        <v>4.82</v>
      </c>
      <c r="N86" s="106">
        <v>9.92</v>
      </c>
      <c r="O86" s="106">
        <v>15.74</v>
      </c>
      <c r="P86" s="106">
        <v>22.18</v>
      </c>
      <c r="Q86" s="106">
        <v>29.15</v>
      </c>
      <c r="R86" s="106">
        <v>36.53</v>
      </c>
      <c r="S86" s="106">
        <v>44.28</v>
      </c>
      <c r="T86" s="106">
        <v>52.32</v>
      </c>
      <c r="U86" s="106">
        <v>60.58</v>
      </c>
      <c r="V86" s="106">
        <v>69</v>
      </c>
      <c r="W86" s="106">
        <v>77.510000000000005</v>
      </c>
      <c r="X86" s="106">
        <v>86.07</v>
      </c>
      <c r="Y86" s="106">
        <v>94.6</v>
      </c>
      <c r="Z86" s="106">
        <v>103.04</v>
      </c>
      <c r="AA86" s="106">
        <v>111.36</v>
      </c>
      <c r="AB86" s="103"/>
      <c r="AC86" s="103"/>
      <c r="AD86" s="103"/>
      <c r="AE86" s="103"/>
      <c r="AF86" s="103"/>
      <c r="AG86" s="25"/>
      <c r="AH86" s="25"/>
      <c r="AI86" s="25"/>
      <c r="AJ86" s="25"/>
      <c r="AK86" s="25"/>
      <c r="AL86" s="25"/>
      <c r="AM86" s="25"/>
      <c r="AN86" s="25"/>
      <c r="AO86" s="25"/>
      <c r="AP86" s="25"/>
    </row>
    <row r="87" spans="12:42" x14ac:dyDescent="0.35">
      <c r="L87" s="24">
        <v>41</v>
      </c>
      <c r="M87" s="106">
        <v>4.82</v>
      </c>
      <c r="N87" s="106">
        <v>9.92</v>
      </c>
      <c r="O87" s="106">
        <v>15.74</v>
      </c>
      <c r="P87" s="106">
        <v>22.18</v>
      </c>
      <c r="Q87" s="106">
        <v>29.15</v>
      </c>
      <c r="R87" s="106">
        <v>36.53</v>
      </c>
      <c r="S87" s="106">
        <v>44.28</v>
      </c>
      <c r="T87" s="106">
        <v>52.32</v>
      </c>
      <c r="U87" s="106">
        <v>60.58</v>
      </c>
      <c r="V87" s="106">
        <v>69</v>
      </c>
      <c r="W87" s="106">
        <v>77.510000000000005</v>
      </c>
      <c r="X87" s="106">
        <v>86.07</v>
      </c>
      <c r="Y87" s="106">
        <v>94.6</v>
      </c>
      <c r="Z87" s="106">
        <v>103.04</v>
      </c>
      <c r="AA87" s="106">
        <v>111.36</v>
      </c>
      <c r="AB87" s="103"/>
      <c r="AC87" s="103"/>
      <c r="AD87" s="103"/>
      <c r="AE87" s="103"/>
      <c r="AF87" s="103"/>
      <c r="AG87" s="25"/>
      <c r="AH87" s="25"/>
      <c r="AI87" s="25"/>
      <c r="AJ87" s="25"/>
      <c r="AK87" s="25"/>
      <c r="AL87" s="25"/>
      <c r="AM87" s="25"/>
      <c r="AN87" s="25"/>
      <c r="AO87" s="25"/>
      <c r="AP87" s="25"/>
    </row>
    <row r="88" spans="12:42" x14ac:dyDescent="0.35">
      <c r="L88" s="24">
        <v>42</v>
      </c>
      <c r="M88" s="106">
        <v>4.82</v>
      </c>
      <c r="N88" s="106">
        <v>9.92</v>
      </c>
      <c r="O88" s="106">
        <v>15.74</v>
      </c>
      <c r="P88" s="106">
        <v>22.18</v>
      </c>
      <c r="Q88" s="106">
        <v>29.15</v>
      </c>
      <c r="R88" s="106">
        <v>36.53</v>
      </c>
      <c r="S88" s="106">
        <v>44.28</v>
      </c>
      <c r="T88" s="106">
        <v>52.32</v>
      </c>
      <c r="U88" s="106">
        <v>60.58</v>
      </c>
      <c r="V88" s="106">
        <v>69</v>
      </c>
      <c r="W88" s="106">
        <v>77.510000000000005</v>
      </c>
      <c r="X88" s="106">
        <v>86.07</v>
      </c>
      <c r="Y88" s="106">
        <v>94.6</v>
      </c>
      <c r="Z88" s="106">
        <v>103.04</v>
      </c>
      <c r="AA88" s="106">
        <v>111.36</v>
      </c>
      <c r="AB88" s="103"/>
      <c r="AC88" s="103"/>
      <c r="AD88" s="103"/>
      <c r="AE88" s="103"/>
      <c r="AF88" s="103"/>
      <c r="AG88" s="25"/>
      <c r="AH88" s="25"/>
      <c r="AI88" s="25"/>
      <c r="AJ88" s="25"/>
      <c r="AK88" s="25"/>
      <c r="AL88" s="25"/>
      <c r="AM88" s="25"/>
      <c r="AN88" s="25"/>
      <c r="AO88" s="25"/>
      <c r="AP88" s="25"/>
    </row>
    <row r="89" spans="12:42" x14ac:dyDescent="0.35">
      <c r="L89" s="24">
        <v>43</v>
      </c>
      <c r="M89" s="106">
        <v>4.82</v>
      </c>
      <c r="N89" s="106">
        <v>9.92</v>
      </c>
      <c r="O89" s="106">
        <v>15.74</v>
      </c>
      <c r="P89" s="106">
        <v>22.18</v>
      </c>
      <c r="Q89" s="106">
        <v>29.15</v>
      </c>
      <c r="R89" s="106">
        <v>36.53</v>
      </c>
      <c r="S89" s="106">
        <v>44.28</v>
      </c>
      <c r="T89" s="106">
        <v>52.32</v>
      </c>
      <c r="U89" s="106">
        <v>60.58</v>
      </c>
      <c r="V89" s="106">
        <v>69</v>
      </c>
      <c r="W89" s="106">
        <v>77.510000000000005</v>
      </c>
      <c r="X89" s="106">
        <v>86.07</v>
      </c>
      <c r="Y89" s="106">
        <v>94.6</v>
      </c>
      <c r="Z89" s="106">
        <v>103.04</v>
      </c>
      <c r="AA89" s="106">
        <v>111.36</v>
      </c>
      <c r="AB89" s="103"/>
      <c r="AC89" s="103"/>
      <c r="AD89" s="103"/>
      <c r="AE89" s="103"/>
      <c r="AF89" s="103"/>
      <c r="AG89" s="25"/>
      <c r="AH89" s="25"/>
      <c r="AI89" s="25"/>
      <c r="AJ89" s="25"/>
      <c r="AK89" s="25"/>
      <c r="AL89" s="25"/>
      <c r="AM89" s="25"/>
      <c r="AN89" s="25"/>
      <c r="AO89" s="25"/>
      <c r="AP89" s="25"/>
    </row>
    <row r="90" spans="12:42" x14ac:dyDescent="0.35">
      <c r="L90" s="24">
        <v>44</v>
      </c>
      <c r="M90" s="106">
        <v>4.82</v>
      </c>
      <c r="N90" s="106">
        <v>9.92</v>
      </c>
      <c r="O90" s="106">
        <v>15.74</v>
      </c>
      <c r="P90" s="106">
        <v>22.18</v>
      </c>
      <c r="Q90" s="106">
        <v>29.15</v>
      </c>
      <c r="R90" s="106">
        <v>36.53</v>
      </c>
      <c r="S90" s="106">
        <v>44.28</v>
      </c>
      <c r="T90" s="106">
        <v>52.32</v>
      </c>
      <c r="U90" s="106">
        <v>60.58</v>
      </c>
      <c r="V90" s="106">
        <v>69</v>
      </c>
      <c r="W90" s="106">
        <v>77.510000000000005</v>
      </c>
      <c r="X90" s="106">
        <v>86.07</v>
      </c>
      <c r="Y90" s="106">
        <v>94.6</v>
      </c>
      <c r="Z90" s="106">
        <v>103.04</v>
      </c>
      <c r="AA90" s="106">
        <v>111.36</v>
      </c>
      <c r="AB90" s="103"/>
      <c r="AC90" s="103"/>
      <c r="AD90" s="103"/>
      <c r="AE90" s="103"/>
      <c r="AF90" s="103"/>
      <c r="AG90" s="25"/>
      <c r="AH90" s="25"/>
      <c r="AI90" s="25"/>
      <c r="AJ90" s="25"/>
      <c r="AK90" s="25"/>
      <c r="AL90" s="25"/>
      <c r="AM90" s="25"/>
      <c r="AN90" s="25"/>
      <c r="AO90" s="25"/>
      <c r="AP90" s="25"/>
    </row>
    <row r="91" spans="12:42" x14ac:dyDescent="0.35">
      <c r="L91" s="24">
        <v>45</v>
      </c>
      <c r="M91" s="106">
        <v>4.82</v>
      </c>
      <c r="N91" s="106">
        <v>9.92</v>
      </c>
      <c r="O91" s="106">
        <v>15.74</v>
      </c>
      <c r="P91" s="106">
        <v>22.18</v>
      </c>
      <c r="Q91" s="106">
        <v>29.15</v>
      </c>
      <c r="R91" s="106">
        <v>36.53</v>
      </c>
      <c r="S91" s="106">
        <v>44.28</v>
      </c>
      <c r="T91" s="106">
        <v>52.32</v>
      </c>
      <c r="U91" s="106">
        <v>60.58</v>
      </c>
      <c r="V91" s="106">
        <v>69</v>
      </c>
      <c r="W91" s="106">
        <v>77.510000000000005</v>
      </c>
      <c r="X91" s="106">
        <v>86.07</v>
      </c>
      <c r="Y91" s="106">
        <v>94.6</v>
      </c>
      <c r="Z91" s="106">
        <v>103.04</v>
      </c>
      <c r="AA91" s="106">
        <v>111.36</v>
      </c>
      <c r="AB91" s="103"/>
      <c r="AC91" s="103"/>
      <c r="AD91" s="103"/>
      <c r="AE91" s="103"/>
      <c r="AF91" s="103"/>
      <c r="AG91" s="25"/>
      <c r="AH91" s="25"/>
      <c r="AI91" s="25"/>
      <c r="AJ91" s="25"/>
      <c r="AK91" s="25"/>
      <c r="AL91" s="25"/>
      <c r="AM91" s="25"/>
      <c r="AN91" s="25"/>
      <c r="AO91" s="25"/>
      <c r="AP91" s="25"/>
    </row>
    <row r="92" spans="12:42" x14ac:dyDescent="0.35">
      <c r="L92" s="24">
        <v>46</v>
      </c>
      <c r="M92" s="106">
        <v>4.82</v>
      </c>
      <c r="N92" s="106">
        <v>9.92</v>
      </c>
      <c r="O92" s="106">
        <v>15.74</v>
      </c>
      <c r="P92" s="106">
        <v>22.18</v>
      </c>
      <c r="Q92" s="106">
        <v>29.15</v>
      </c>
      <c r="R92" s="106">
        <v>36.53</v>
      </c>
      <c r="S92" s="106">
        <v>44.28</v>
      </c>
      <c r="T92" s="106">
        <v>52.32</v>
      </c>
      <c r="U92" s="106">
        <v>60.58</v>
      </c>
      <c r="V92" s="106">
        <v>69</v>
      </c>
      <c r="W92" s="106">
        <v>77.510000000000005</v>
      </c>
      <c r="X92" s="106">
        <v>86.07</v>
      </c>
      <c r="Y92" s="106">
        <v>94.6</v>
      </c>
      <c r="Z92" s="106">
        <v>103.04</v>
      </c>
      <c r="AA92" s="106">
        <v>111.36</v>
      </c>
      <c r="AB92" s="103"/>
      <c r="AC92" s="103"/>
      <c r="AD92" s="103"/>
      <c r="AE92" s="103"/>
      <c r="AF92" s="103"/>
      <c r="AG92" s="25"/>
      <c r="AH92" s="25"/>
      <c r="AI92" s="25"/>
      <c r="AJ92" s="25"/>
      <c r="AK92" s="25"/>
      <c r="AL92" s="25"/>
      <c r="AM92" s="25"/>
      <c r="AN92" s="25"/>
      <c r="AO92" s="25"/>
      <c r="AP92" s="25"/>
    </row>
    <row r="93" spans="12:42" x14ac:dyDescent="0.35">
      <c r="L93" s="24">
        <v>47</v>
      </c>
      <c r="M93" s="106">
        <v>4.82</v>
      </c>
      <c r="N93" s="106">
        <v>9.92</v>
      </c>
      <c r="O93" s="106">
        <v>15.74</v>
      </c>
      <c r="P93" s="106">
        <v>22.18</v>
      </c>
      <c r="Q93" s="106">
        <v>29.15</v>
      </c>
      <c r="R93" s="106">
        <v>36.53</v>
      </c>
      <c r="S93" s="106">
        <v>44.28</v>
      </c>
      <c r="T93" s="106">
        <v>52.32</v>
      </c>
      <c r="U93" s="106">
        <v>60.58</v>
      </c>
      <c r="V93" s="106">
        <v>69</v>
      </c>
      <c r="W93" s="106">
        <v>77.510000000000005</v>
      </c>
      <c r="X93" s="106">
        <v>86.07</v>
      </c>
      <c r="Y93" s="106">
        <v>94.6</v>
      </c>
      <c r="Z93" s="106">
        <v>103.04</v>
      </c>
      <c r="AA93" s="106">
        <v>111.36</v>
      </c>
      <c r="AB93" s="103"/>
      <c r="AC93" s="103"/>
      <c r="AD93" s="103"/>
      <c r="AE93" s="103"/>
      <c r="AF93" s="103"/>
      <c r="AG93" s="25"/>
      <c r="AH93" s="25"/>
      <c r="AI93" s="25"/>
      <c r="AJ93" s="25"/>
      <c r="AK93" s="25"/>
      <c r="AL93" s="25"/>
      <c r="AM93" s="25"/>
      <c r="AN93" s="25"/>
      <c r="AO93" s="25"/>
      <c r="AP93" s="25"/>
    </row>
    <row r="94" spans="12:42" x14ac:dyDescent="0.35">
      <c r="L94" s="24">
        <v>48</v>
      </c>
      <c r="M94" s="106">
        <v>4.82</v>
      </c>
      <c r="N94" s="106">
        <v>9.92</v>
      </c>
      <c r="O94" s="106">
        <v>15.74</v>
      </c>
      <c r="P94" s="106">
        <v>22.18</v>
      </c>
      <c r="Q94" s="106">
        <v>29.15</v>
      </c>
      <c r="R94" s="106">
        <v>36.53</v>
      </c>
      <c r="S94" s="106">
        <v>44.28</v>
      </c>
      <c r="T94" s="106">
        <v>52.32</v>
      </c>
      <c r="U94" s="106">
        <v>60.58</v>
      </c>
      <c r="V94" s="106">
        <v>69</v>
      </c>
      <c r="W94" s="106">
        <v>77.510000000000005</v>
      </c>
      <c r="X94" s="106">
        <v>86.07</v>
      </c>
      <c r="Y94" s="106">
        <v>94.6</v>
      </c>
      <c r="Z94" s="106">
        <v>103.04</v>
      </c>
      <c r="AA94" s="106">
        <v>111.36</v>
      </c>
      <c r="AB94" s="103"/>
      <c r="AC94" s="103"/>
      <c r="AD94" s="103"/>
      <c r="AE94" s="103"/>
      <c r="AF94" s="103"/>
      <c r="AG94" s="25"/>
      <c r="AH94" s="25"/>
      <c r="AI94" s="25"/>
      <c r="AJ94" s="25"/>
      <c r="AK94" s="25"/>
      <c r="AL94" s="25"/>
      <c r="AM94" s="25"/>
      <c r="AN94" s="25"/>
      <c r="AO94" s="25"/>
      <c r="AP94" s="25"/>
    </row>
    <row r="95" spans="12:42" x14ac:dyDescent="0.35">
      <c r="L95" s="24">
        <v>49</v>
      </c>
      <c r="M95" s="106">
        <v>4.82</v>
      </c>
      <c r="N95" s="106">
        <v>9.92</v>
      </c>
      <c r="O95" s="106">
        <v>15.74</v>
      </c>
      <c r="P95" s="106">
        <v>22.18</v>
      </c>
      <c r="Q95" s="106">
        <v>29.15</v>
      </c>
      <c r="R95" s="106">
        <v>36.53</v>
      </c>
      <c r="S95" s="106">
        <v>44.28</v>
      </c>
      <c r="T95" s="106">
        <v>52.32</v>
      </c>
      <c r="U95" s="106">
        <v>60.58</v>
      </c>
      <c r="V95" s="106">
        <v>69</v>
      </c>
      <c r="W95" s="106">
        <v>77.510000000000005</v>
      </c>
      <c r="X95" s="106">
        <v>86.07</v>
      </c>
      <c r="Y95" s="106">
        <v>94.6</v>
      </c>
      <c r="Z95" s="106">
        <v>103.04</v>
      </c>
      <c r="AA95" s="106">
        <v>111.36</v>
      </c>
      <c r="AB95" s="103"/>
      <c r="AC95" s="103"/>
      <c r="AD95" s="103"/>
      <c r="AE95" s="103"/>
      <c r="AF95" s="103"/>
      <c r="AG95" s="25"/>
      <c r="AH95" s="25"/>
      <c r="AI95" s="25"/>
      <c r="AJ95" s="25"/>
      <c r="AK95" s="25"/>
      <c r="AL95" s="25"/>
      <c r="AM95" s="25"/>
      <c r="AN95" s="25"/>
      <c r="AO95" s="25"/>
      <c r="AP95" s="25"/>
    </row>
    <row r="96" spans="12:42" x14ac:dyDescent="0.35">
      <c r="L96" s="24">
        <v>50</v>
      </c>
      <c r="M96" s="106">
        <v>4.82</v>
      </c>
      <c r="N96" s="106">
        <v>9.92</v>
      </c>
      <c r="O96" s="106">
        <v>15.74</v>
      </c>
      <c r="P96" s="106">
        <v>22.18</v>
      </c>
      <c r="Q96" s="106">
        <v>29.15</v>
      </c>
      <c r="R96" s="106">
        <v>36.53</v>
      </c>
      <c r="S96" s="106">
        <v>44.28</v>
      </c>
      <c r="T96" s="106">
        <v>52.32</v>
      </c>
      <c r="U96" s="106">
        <v>60.58</v>
      </c>
      <c r="V96" s="106">
        <v>69</v>
      </c>
      <c r="W96" s="106">
        <v>77.510000000000005</v>
      </c>
      <c r="X96" s="106">
        <v>86.07</v>
      </c>
      <c r="Y96" s="106">
        <v>94.6</v>
      </c>
      <c r="Z96" s="106">
        <v>103.04</v>
      </c>
      <c r="AA96" s="106">
        <v>111.36</v>
      </c>
      <c r="AB96" s="103"/>
      <c r="AC96" s="103"/>
      <c r="AD96" s="103"/>
      <c r="AE96" s="103"/>
      <c r="AF96" s="103"/>
      <c r="AG96" s="25"/>
      <c r="AH96" s="25"/>
      <c r="AI96" s="25"/>
      <c r="AJ96" s="25"/>
      <c r="AK96" s="25"/>
      <c r="AL96" s="25"/>
      <c r="AM96" s="25"/>
      <c r="AN96" s="25"/>
      <c r="AO96" s="25"/>
      <c r="AP96" s="25"/>
    </row>
    <row r="97" spans="12:42" x14ac:dyDescent="0.35">
      <c r="L97" s="24">
        <v>51</v>
      </c>
      <c r="M97" s="106">
        <v>4.82</v>
      </c>
      <c r="N97" s="106">
        <v>9.92</v>
      </c>
      <c r="O97" s="106">
        <v>15.74</v>
      </c>
      <c r="P97" s="106">
        <v>22.18</v>
      </c>
      <c r="Q97" s="106">
        <v>29.15</v>
      </c>
      <c r="R97" s="106">
        <v>36.53</v>
      </c>
      <c r="S97" s="106">
        <v>44.28</v>
      </c>
      <c r="T97" s="106">
        <v>52.32</v>
      </c>
      <c r="U97" s="106">
        <v>60.58</v>
      </c>
      <c r="V97" s="106">
        <v>69</v>
      </c>
      <c r="W97" s="106">
        <v>77.510000000000005</v>
      </c>
      <c r="X97" s="106">
        <v>86.07</v>
      </c>
      <c r="Y97" s="106">
        <v>94.6</v>
      </c>
      <c r="Z97" s="106">
        <v>103.04</v>
      </c>
      <c r="AA97" s="106">
        <v>111.36</v>
      </c>
      <c r="AB97" s="103"/>
      <c r="AC97" s="103"/>
      <c r="AD97" s="103"/>
      <c r="AE97" s="103"/>
      <c r="AF97" s="103"/>
      <c r="AG97" s="25"/>
      <c r="AH97" s="25"/>
      <c r="AI97" s="25"/>
      <c r="AJ97" s="25"/>
      <c r="AK97" s="25"/>
      <c r="AL97" s="25"/>
      <c r="AM97" s="25"/>
      <c r="AN97" s="25"/>
      <c r="AO97" s="25"/>
      <c r="AP97" s="25"/>
    </row>
    <row r="98" spans="12:42" x14ac:dyDescent="0.35">
      <c r="L98" s="24">
        <v>52</v>
      </c>
      <c r="M98" s="106">
        <v>4.82</v>
      </c>
      <c r="N98" s="106">
        <v>9.92</v>
      </c>
      <c r="O98" s="106">
        <v>15.74</v>
      </c>
      <c r="P98" s="106">
        <v>22.18</v>
      </c>
      <c r="Q98" s="106">
        <v>29.15</v>
      </c>
      <c r="R98" s="106">
        <v>36.53</v>
      </c>
      <c r="S98" s="106">
        <v>44.28</v>
      </c>
      <c r="T98" s="106">
        <v>52.32</v>
      </c>
      <c r="U98" s="106">
        <v>60.58</v>
      </c>
      <c r="V98" s="106">
        <v>69</v>
      </c>
      <c r="W98" s="106">
        <v>77.510000000000005</v>
      </c>
      <c r="X98" s="106">
        <v>86.07</v>
      </c>
      <c r="Y98" s="106">
        <v>94.6</v>
      </c>
      <c r="Z98" s="106">
        <v>103.04</v>
      </c>
      <c r="AA98" s="106">
        <v>111.36</v>
      </c>
      <c r="AB98" s="103"/>
      <c r="AC98" s="103"/>
      <c r="AD98" s="103"/>
      <c r="AE98" s="103"/>
      <c r="AF98" s="103"/>
      <c r="AG98" s="25"/>
      <c r="AH98" s="25"/>
      <c r="AI98" s="25"/>
      <c r="AJ98" s="25"/>
      <c r="AK98" s="25"/>
      <c r="AL98" s="25"/>
      <c r="AM98" s="25"/>
      <c r="AN98" s="25"/>
      <c r="AO98" s="25"/>
      <c r="AP98" s="25"/>
    </row>
    <row r="99" spans="12:42" x14ac:dyDescent="0.35">
      <c r="L99" s="24">
        <v>53</v>
      </c>
      <c r="M99" s="106">
        <v>4.82</v>
      </c>
      <c r="N99" s="106">
        <v>9.92</v>
      </c>
      <c r="O99" s="106">
        <v>15.74</v>
      </c>
      <c r="P99" s="106">
        <v>22.18</v>
      </c>
      <c r="Q99" s="106">
        <v>29.15</v>
      </c>
      <c r="R99" s="106">
        <v>36.53</v>
      </c>
      <c r="S99" s="106">
        <v>44.28</v>
      </c>
      <c r="T99" s="106">
        <v>52.32</v>
      </c>
      <c r="U99" s="106">
        <v>60.58</v>
      </c>
      <c r="V99" s="106">
        <v>69</v>
      </c>
      <c r="W99" s="106">
        <v>77.510000000000005</v>
      </c>
      <c r="X99" s="106">
        <v>86.07</v>
      </c>
      <c r="Y99" s="106">
        <v>94.6</v>
      </c>
      <c r="Z99" s="106">
        <v>103.04</v>
      </c>
      <c r="AA99" s="106">
        <v>111.36</v>
      </c>
      <c r="AB99" s="103"/>
      <c r="AC99" s="103"/>
      <c r="AD99" s="103"/>
      <c r="AE99" s="103"/>
      <c r="AF99" s="103"/>
      <c r="AG99" s="25"/>
      <c r="AH99" s="25"/>
      <c r="AI99" s="25"/>
      <c r="AJ99" s="25"/>
      <c r="AK99" s="25"/>
      <c r="AL99" s="25"/>
      <c r="AM99" s="25"/>
      <c r="AN99" s="25"/>
      <c r="AO99" s="25"/>
      <c r="AP99" s="25"/>
    </row>
    <row r="100" spans="12:42" x14ac:dyDescent="0.35">
      <c r="L100" s="24">
        <v>54</v>
      </c>
      <c r="M100" s="106">
        <v>4.82</v>
      </c>
      <c r="N100" s="106">
        <v>9.92</v>
      </c>
      <c r="O100" s="106">
        <v>15.74</v>
      </c>
      <c r="P100" s="106">
        <v>22.18</v>
      </c>
      <c r="Q100" s="106">
        <v>29.15</v>
      </c>
      <c r="R100" s="106">
        <v>36.53</v>
      </c>
      <c r="S100" s="106">
        <v>44.28</v>
      </c>
      <c r="T100" s="106">
        <v>52.32</v>
      </c>
      <c r="U100" s="106">
        <v>60.58</v>
      </c>
      <c r="V100" s="106">
        <v>69</v>
      </c>
      <c r="W100" s="106">
        <v>77.510000000000005</v>
      </c>
      <c r="X100" s="106">
        <v>86.07</v>
      </c>
      <c r="Y100" s="106">
        <v>94.6</v>
      </c>
      <c r="Z100" s="106">
        <v>103.04</v>
      </c>
      <c r="AA100" s="106">
        <v>111.36</v>
      </c>
      <c r="AB100" s="103"/>
      <c r="AC100" s="103"/>
      <c r="AD100" s="103"/>
      <c r="AE100" s="103"/>
      <c r="AF100" s="103"/>
      <c r="AG100" s="25"/>
      <c r="AH100" s="25"/>
      <c r="AI100" s="25"/>
      <c r="AJ100" s="25"/>
      <c r="AK100" s="25"/>
      <c r="AL100" s="25"/>
      <c r="AM100" s="25"/>
      <c r="AN100" s="25"/>
      <c r="AO100" s="25"/>
      <c r="AP100" s="25"/>
    </row>
    <row r="101" spans="12:42" x14ac:dyDescent="0.35">
      <c r="L101" s="24">
        <v>55</v>
      </c>
      <c r="M101" s="106">
        <v>4.82</v>
      </c>
      <c r="N101" s="106">
        <v>9.92</v>
      </c>
      <c r="O101" s="106">
        <v>15.74</v>
      </c>
      <c r="P101" s="106">
        <v>22.18</v>
      </c>
      <c r="Q101" s="106">
        <v>29.15</v>
      </c>
      <c r="R101" s="106">
        <v>36.53</v>
      </c>
      <c r="S101" s="106">
        <v>44.28</v>
      </c>
      <c r="T101" s="106">
        <v>52.32</v>
      </c>
      <c r="U101" s="106">
        <v>60.58</v>
      </c>
      <c r="V101" s="106">
        <v>69</v>
      </c>
      <c r="W101" s="106">
        <v>77.510000000000005</v>
      </c>
      <c r="X101" s="106">
        <v>86.07</v>
      </c>
      <c r="Y101" s="106">
        <v>94.6</v>
      </c>
      <c r="Z101" s="106">
        <v>103.04</v>
      </c>
      <c r="AA101" s="106">
        <v>111.36</v>
      </c>
      <c r="AB101" s="103"/>
      <c r="AC101" s="103"/>
      <c r="AD101" s="103"/>
      <c r="AE101" s="103"/>
      <c r="AF101" s="103"/>
      <c r="AG101" s="25"/>
      <c r="AH101" s="25"/>
      <c r="AI101" s="25"/>
      <c r="AJ101" s="25"/>
      <c r="AK101" s="25"/>
      <c r="AL101" s="25"/>
      <c r="AM101" s="25"/>
      <c r="AN101" s="25"/>
      <c r="AO101" s="25"/>
      <c r="AP101" s="25"/>
    </row>
    <row r="102" spans="12:42" x14ac:dyDescent="0.35">
      <c r="L102" s="24">
        <v>56</v>
      </c>
      <c r="M102" s="106">
        <v>4.82</v>
      </c>
      <c r="N102" s="106">
        <v>9.92</v>
      </c>
      <c r="O102" s="106">
        <v>15.74</v>
      </c>
      <c r="P102" s="106">
        <v>22.18</v>
      </c>
      <c r="Q102" s="106">
        <v>29.15</v>
      </c>
      <c r="R102" s="106">
        <v>36.53</v>
      </c>
      <c r="S102" s="106">
        <v>44.28</v>
      </c>
      <c r="T102" s="106">
        <v>52.32</v>
      </c>
      <c r="U102" s="106">
        <v>60.58</v>
      </c>
      <c r="V102" s="106">
        <v>69</v>
      </c>
      <c r="W102" s="106">
        <v>77.510000000000005</v>
      </c>
      <c r="X102" s="106">
        <v>86.07</v>
      </c>
      <c r="Y102" s="106">
        <v>94.6</v>
      </c>
      <c r="Z102" s="106">
        <v>103.04</v>
      </c>
      <c r="AA102" s="106">
        <v>111.36</v>
      </c>
      <c r="AB102" s="103"/>
      <c r="AC102" s="103"/>
      <c r="AD102" s="103"/>
      <c r="AE102" s="103"/>
      <c r="AF102" s="103"/>
      <c r="AG102" s="25"/>
      <c r="AH102" s="25"/>
      <c r="AI102" s="25"/>
      <c r="AJ102" s="25"/>
      <c r="AK102" s="25"/>
      <c r="AL102" s="25"/>
      <c r="AM102" s="25"/>
      <c r="AN102" s="25"/>
      <c r="AO102" s="25"/>
      <c r="AP102" s="25"/>
    </row>
    <row r="103" spans="12:42" x14ac:dyDescent="0.35">
      <c r="L103" s="24">
        <v>57</v>
      </c>
      <c r="M103" s="106">
        <v>4.82</v>
      </c>
      <c r="N103" s="106">
        <v>9.92</v>
      </c>
      <c r="O103" s="106">
        <v>15.74</v>
      </c>
      <c r="P103" s="106">
        <v>22.18</v>
      </c>
      <c r="Q103" s="106">
        <v>29.15</v>
      </c>
      <c r="R103" s="106">
        <v>36.53</v>
      </c>
      <c r="S103" s="106">
        <v>44.28</v>
      </c>
      <c r="T103" s="106">
        <v>52.32</v>
      </c>
      <c r="U103" s="106">
        <v>60.58</v>
      </c>
      <c r="V103" s="106">
        <v>69</v>
      </c>
      <c r="W103" s="106">
        <v>77.510000000000005</v>
      </c>
      <c r="X103" s="106">
        <v>86.07</v>
      </c>
      <c r="Y103" s="106">
        <v>94.6</v>
      </c>
      <c r="Z103" s="106">
        <v>103.04</v>
      </c>
      <c r="AA103" s="106">
        <v>111.36</v>
      </c>
      <c r="AB103" s="103"/>
      <c r="AC103" s="103"/>
      <c r="AD103" s="103"/>
      <c r="AE103" s="103"/>
      <c r="AF103" s="103"/>
      <c r="AG103" s="25"/>
      <c r="AH103" s="25"/>
      <c r="AI103" s="25"/>
      <c r="AJ103" s="25"/>
      <c r="AK103" s="25"/>
      <c r="AL103" s="25"/>
      <c r="AM103" s="25"/>
      <c r="AN103" s="25"/>
      <c r="AO103" s="25"/>
      <c r="AP103" s="25"/>
    </row>
    <row r="104" spans="12:42" x14ac:dyDescent="0.35">
      <c r="L104" s="24">
        <v>58</v>
      </c>
      <c r="M104" s="106">
        <v>4.82</v>
      </c>
      <c r="N104" s="106">
        <v>9.92</v>
      </c>
      <c r="O104" s="106">
        <v>15.74</v>
      </c>
      <c r="P104" s="106">
        <v>22.18</v>
      </c>
      <c r="Q104" s="106">
        <v>29.15</v>
      </c>
      <c r="R104" s="106">
        <v>36.53</v>
      </c>
      <c r="S104" s="106">
        <v>44.28</v>
      </c>
      <c r="T104" s="106">
        <v>52.32</v>
      </c>
      <c r="U104" s="106">
        <v>60.58</v>
      </c>
      <c r="V104" s="106">
        <v>69</v>
      </c>
      <c r="W104" s="106">
        <v>77.510000000000005</v>
      </c>
      <c r="X104" s="106">
        <v>86.07</v>
      </c>
      <c r="Y104" s="106">
        <v>94.6</v>
      </c>
      <c r="Z104" s="106">
        <v>103.04</v>
      </c>
      <c r="AA104" s="106">
        <v>111.36</v>
      </c>
      <c r="AB104" s="103"/>
      <c r="AC104" s="103"/>
      <c r="AD104" s="103"/>
      <c r="AE104" s="103"/>
      <c r="AF104" s="103"/>
      <c r="AG104" s="25"/>
      <c r="AH104" s="25"/>
      <c r="AI104" s="25"/>
      <c r="AJ104" s="25"/>
      <c r="AK104" s="25"/>
      <c r="AL104" s="25"/>
      <c r="AM104" s="25"/>
      <c r="AN104" s="25"/>
      <c r="AO104" s="25"/>
      <c r="AP104" s="25"/>
    </row>
    <row r="105" spans="12:42" x14ac:dyDescent="0.35">
      <c r="L105" s="24">
        <v>59</v>
      </c>
      <c r="M105" s="106">
        <v>4.82</v>
      </c>
      <c r="N105" s="106">
        <v>9.92</v>
      </c>
      <c r="O105" s="106">
        <v>15.74</v>
      </c>
      <c r="P105" s="106">
        <v>22.18</v>
      </c>
      <c r="Q105" s="106">
        <v>29.15</v>
      </c>
      <c r="R105" s="106">
        <v>36.53</v>
      </c>
      <c r="S105" s="106">
        <v>44.28</v>
      </c>
      <c r="T105" s="106">
        <v>52.32</v>
      </c>
      <c r="U105" s="106">
        <v>60.58</v>
      </c>
      <c r="V105" s="106">
        <v>69</v>
      </c>
      <c r="W105" s="106">
        <v>77.510000000000005</v>
      </c>
      <c r="X105" s="106">
        <v>86.07</v>
      </c>
      <c r="Y105" s="106">
        <v>94.6</v>
      </c>
      <c r="Z105" s="106">
        <v>103.04</v>
      </c>
      <c r="AA105" s="106">
        <v>111.36</v>
      </c>
      <c r="AB105" s="103"/>
      <c r="AC105" s="103"/>
      <c r="AD105" s="103"/>
      <c r="AE105" s="103"/>
      <c r="AF105" s="103"/>
      <c r="AG105" s="25"/>
      <c r="AH105" s="25"/>
      <c r="AI105" s="25"/>
      <c r="AJ105" s="25"/>
      <c r="AK105" s="25"/>
      <c r="AL105" s="25"/>
      <c r="AM105" s="25"/>
      <c r="AN105" s="25"/>
      <c r="AO105" s="25"/>
      <c r="AP105" s="25"/>
    </row>
    <row r="106" spans="12:42" x14ac:dyDescent="0.35">
      <c r="L106" s="24">
        <v>60</v>
      </c>
      <c r="M106" s="106">
        <v>4.82</v>
      </c>
      <c r="N106" s="106">
        <v>9.92</v>
      </c>
      <c r="O106" s="106">
        <v>15.74</v>
      </c>
      <c r="P106" s="106">
        <v>22.18</v>
      </c>
      <c r="Q106" s="106">
        <v>29.15</v>
      </c>
      <c r="R106" s="106">
        <v>36.53</v>
      </c>
      <c r="S106" s="106">
        <v>44.28</v>
      </c>
      <c r="T106" s="106">
        <v>52.32</v>
      </c>
      <c r="U106" s="106">
        <v>60.58</v>
      </c>
      <c r="V106" s="106">
        <v>69</v>
      </c>
      <c r="W106" s="106">
        <v>77.510000000000005</v>
      </c>
      <c r="X106" s="106">
        <v>86.07</v>
      </c>
      <c r="Y106" s="106">
        <v>94.6</v>
      </c>
      <c r="Z106" s="106">
        <v>103.04</v>
      </c>
      <c r="AA106" s="106">
        <v>111.36</v>
      </c>
      <c r="AB106" s="103"/>
      <c r="AC106" s="103"/>
      <c r="AD106" s="103"/>
      <c r="AE106" s="103"/>
      <c r="AF106" s="103"/>
      <c r="AG106" s="25"/>
      <c r="AH106" s="25"/>
      <c r="AI106" s="25"/>
      <c r="AJ106" s="25"/>
      <c r="AK106" s="25"/>
      <c r="AL106" s="25"/>
      <c r="AM106" s="25"/>
      <c r="AN106" s="25"/>
      <c r="AO106" s="25"/>
      <c r="AP106" s="25"/>
    </row>
    <row r="107" spans="12:42" x14ac:dyDescent="0.35">
      <c r="L107" s="24">
        <f t="shared" ref="L107:L116" si="2">IF(AND(ROW(K49)+12&gt;=$G$11,ROW(K49)+12&lt;=$I$11),ROW(K49)+12,"")</f>
        <v>61</v>
      </c>
      <c r="M107" s="106">
        <v>4.82</v>
      </c>
      <c r="N107" s="106">
        <v>9.92</v>
      </c>
      <c r="O107" s="106">
        <v>15.74</v>
      </c>
      <c r="P107" s="106">
        <v>22.18</v>
      </c>
      <c r="Q107" s="106">
        <v>29.15</v>
      </c>
      <c r="R107" s="106">
        <v>36.53</v>
      </c>
      <c r="S107" s="106">
        <v>44.28</v>
      </c>
      <c r="T107" s="106">
        <v>52.32</v>
      </c>
      <c r="U107" s="106">
        <v>60.58</v>
      </c>
      <c r="V107" s="106">
        <v>69</v>
      </c>
      <c r="W107" s="106">
        <v>77.510000000000005</v>
      </c>
      <c r="X107" s="106">
        <v>86.07</v>
      </c>
      <c r="Y107" s="106">
        <v>94.6</v>
      </c>
      <c r="Z107" s="106">
        <v>103.04</v>
      </c>
      <c r="AA107" s="106">
        <v>111.36</v>
      </c>
      <c r="AB107" s="105"/>
      <c r="AC107" s="105"/>
      <c r="AD107" s="105"/>
      <c r="AE107" s="105"/>
      <c r="AF107" s="105"/>
      <c r="AG107" s="25"/>
      <c r="AH107" s="25"/>
      <c r="AI107" s="25"/>
      <c r="AJ107" s="25"/>
      <c r="AK107" s="25"/>
      <c r="AL107" s="25"/>
      <c r="AM107" s="25"/>
      <c r="AN107" s="25"/>
      <c r="AO107" s="25"/>
      <c r="AP107" s="25"/>
    </row>
    <row r="108" spans="12:42" x14ac:dyDescent="0.35">
      <c r="L108" s="24">
        <f t="shared" si="2"/>
        <v>62</v>
      </c>
      <c r="M108" s="106">
        <v>4.82</v>
      </c>
      <c r="N108" s="106">
        <v>9.92</v>
      </c>
      <c r="O108" s="106">
        <v>15.74</v>
      </c>
      <c r="P108" s="106">
        <v>22.18</v>
      </c>
      <c r="Q108" s="106">
        <v>29.15</v>
      </c>
      <c r="R108" s="106">
        <v>36.53</v>
      </c>
      <c r="S108" s="106">
        <v>44.28</v>
      </c>
      <c r="T108" s="106">
        <v>52.32</v>
      </c>
      <c r="U108" s="106">
        <v>60.58</v>
      </c>
      <c r="V108" s="106">
        <v>69</v>
      </c>
      <c r="W108" s="106">
        <v>77.510000000000005</v>
      </c>
      <c r="X108" s="106">
        <v>86.07</v>
      </c>
      <c r="Y108" s="106">
        <v>94.6</v>
      </c>
      <c r="Z108" s="106">
        <v>103.04</v>
      </c>
      <c r="AA108" s="106">
        <v>111.36</v>
      </c>
      <c r="AB108" s="105"/>
      <c r="AC108" s="105"/>
      <c r="AD108" s="105"/>
      <c r="AE108" s="105"/>
      <c r="AF108" s="105"/>
      <c r="AG108" s="25"/>
      <c r="AH108" s="25"/>
      <c r="AI108" s="25"/>
      <c r="AJ108" s="25"/>
      <c r="AK108" s="25"/>
      <c r="AL108" s="25"/>
      <c r="AM108" s="25"/>
      <c r="AN108" s="25"/>
      <c r="AO108" s="25"/>
      <c r="AP108" s="25"/>
    </row>
    <row r="109" spans="12:42" x14ac:dyDescent="0.35">
      <c r="L109" s="24">
        <f t="shared" si="2"/>
        <v>63</v>
      </c>
      <c r="M109" s="106">
        <v>4.82</v>
      </c>
      <c r="N109" s="106">
        <v>9.92</v>
      </c>
      <c r="O109" s="106">
        <v>15.74</v>
      </c>
      <c r="P109" s="106">
        <v>22.18</v>
      </c>
      <c r="Q109" s="106">
        <v>29.15</v>
      </c>
      <c r="R109" s="106">
        <v>36.53</v>
      </c>
      <c r="S109" s="106">
        <v>44.28</v>
      </c>
      <c r="T109" s="106">
        <v>52.32</v>
      </c>
      <c r="U109" s="106">
        <v>60.58</v>
      </c>
      <c r="V109" s="106">
        <v>69</v>
      </c>
      <c r="W109" s="106">
        <v>77.510000000000005</v>
      </c>
      <c r="X109" s="106">
        <v>86.07</v>
      </c>
      <c r="Y109" s="106">
        <v>94.6</v>
      </c>
      <c r="Z109" s="106">
        <v>103.04</v>
      </c>
      <c r="AA109" s="106">
        <v>111.36</v>
      </c>
      <c r="AB109" s="105"/>
      <c r="AC109" s="105"/>
      <c r="AD109" s="105"/>
      <c r="AE109" s="105"/>
      <c r="AF109" s="105"/>
      <c r="AG109" s="25"/>
      <c r="AH109" s="25"/>
      <c r="AI109" s="25"/>
      <c r="AJ109" s="25"/>
      <c r="AK109" s="25"/>
      <c r="AL109" s="25"/>
      <c r="AM109" s="25"/>
      <c r="AN109" s="25"/>
      <c r="AO109" s="25"/>
      <c r="AP109" s="25"/>
    </row>
    <row r="110" spans="12:42" x14ac:dyDescent="0.35">
      <c r="L110" s="24">
        <f t="shared" si="2"/>
        <v>64</v>
      </c>
      <c r="M110" s="106">
        <v>4.82</v>
      </c>
      <c r="N110" s="106">
        <v>9.92</v>
      </c>
      <c r="O110" s="106">
        <v>15.74</v>
      </c>
      <c r="P110" s="106">
        <v>22.18</v>
      </c>
      <c r="Q110" s="106">
        <v>29.15</v>
      </c>
      <c r="R110" s="106">
        <v>36.53</v>
      </c>
      <c r="S110" s="106">
        <v>44.28</v>
      </c>
      <c r="T110" s="106">
        <v>52.32</v>
      </c>
      <c r="U110" s="106">
        <v>60.58</v>
      </c>
      <c r="V110" s="106">
        <v>69</v>
      </c>
      <c r="W110" s="106">
        <v>77.510000000000005</v>
      </c>
      <c r="X110" s="106">
        <v>86.07</v>
      </c>
      <c r="Y110" s="106">
        <v>94.6</v>
      </c>
      <c r="Z110" s="106">
        <v>103.04</v>
      </c>
      <c r="AA110" s="106">
        <v>111.36</v>
      </c>
      <c r="AB110" s="105"/>
      <c r="AC110" s="105"/>
      <c r="AD110" s="105"/>
      <c r="AE110" s="105"/>
      <c r="AF110" s="105"/>
      <c r="AG110" s="25"/>
      <c r="AH110" s="25"/>
      <c r="AI110" s="25"/>
      <c r="AJ110" s="25"/>
      <c r="AK110" s="25"/>
      <c r="AL110" s="25"/>
      <c r="AM110" s="25"/>
      <c r="AN110" s="25"/>
      <c r="AO110" s="25"/>
      <c r="AP110" s="25"/>
    </row>
    <row r="111" spans="12:42" x14ac:dyDescent="0.35">
      <c r="L111" s="24">
        <f t="shared" si="2"/>
        <v>65</v>
      </c>
      <c r="M111" s="106">
        <v>4.82</v>
      </c>
      <c r="N111" s="106">
        <v>9.92</v>
      </c>
      <c r="O111" s="106">
        <v>15.74</v>
      </c>
      <c r="P111" s="106">
        <v>22.18</v>
      </c>
      <c r="Q111" s="106">
        <v>29.15</v>
      </c>
      <c r="R111" s="106">
        <v>36.53</v>
      </c>
      <c r="S111" s="106">
        <v>44.28</v>
      </c>
      <c r="T111" s="106">
        <v>52.32</v>
      </c>
      <c r="U111" s="106">
        <v>60.58</v>
      </c>
      <c r="V111" s="106">
        <v>69</v>
      </c>
      <c r="W111" s="106">
        <v>77.510000000000005</v>
      </c>
      <c r="X111" s="106">
        <v>86.07</v>
      </c>
      <c r="Y111" s="106">
        <v>94.6</v>
      </c>
      <c r="Z111" s="106">
        <v>103.04</v>
      </c>
      <c r="AA111" s="106">
        <v>111.36</v>
      </c>
      <c r="AB111" s="105"/>
      <c r="AC111" s="105"/>
      <c r="AD111" s="105"/>
      <c r="AE111" s="105"/>
      <c r="AF111" s="105"/>
      <c r="AG111" s="25"/>
      <c r="AH111" s="25"/>
      <c r="AI111" s="25"/>
      <c r="AJ111" s="25"/>
      <c r="AK111" s="25"/>
      <c r="AL111" s="25"/>
      <c r="AM111" s="25"/>
      <c r="AN111" s="25"/>
      <c r="AO111" s="25"/>
      <c r="AP111" s="25"/>
    </row>
    <row r="112" spans="12:42" x14ac:dyDescent="0.35">
      <c r="L112" s="24" t="str">
        <f t="shared" si="2"/>
        <v/>
      </c>
      <c r="M112" s="25"/>
      <c r="N112" s="25"/>
      <c r="O112" s="25"/>
      <c r="P112" s="25"/>
      <c r="Q112" s="25"/>
      <c r="R112" s="25"/>
      <c r="S112" s="25"/>
      <c r="T112" s="25"/>
      <c r="U112" s="25"/>
      <c r="V112" s="25"/>
      <c r="W112" s="25"/>
      <c r="X112" s="25"/>
      <c r="Y112" s="25"/>
      <c r="Z112" s="25"/>
      <c r="AA112" s="25"/>
      <c r="AB112" s="25"/>
      <c r="AC112" s="25"/>
      <c r="AD112" s="25"/>
      <c r="AE112" s="25"/>
      <c r="AF112" s="25"/>
      <c r="AG112" s="25"/>
      <c r="AH112" s="25"/>
      <c r="AI112" s="25"/>
      <c r="AJ112" s="25"/>
      <c r="AK112" s="25"/>
      <c r="AL112" s="25"/>
      <c r="AM112" s="25"/>
      <c r="AN112" s="25"/>
      <c r="AO112" s="25"/>
      <c r="AP112" s="25"/>
    </row>
    <row r="113" spans="11:42" x14ac:dyDescent="0.35">
      <c r="L113" s="24" t="str">
        <f t="shared" si="2"/>
        <v/>
      </c>
      <c r="M113" s="25"/>
      <c r="N113" s="25"/>
      <c r="O113" s="25"/>
      <c r="P113" s="25"/>
      <c r="Q113" s="25"/>
      <c r="R113" s="25"/>
      <c r="S113" s="25"/>
      <c r="T113" s="25"/>
      <c r="U113" s="25"/>
      <c r="V113" s="25"/>
      <c r="W113" s="25"/>
      <c r="X113" s="25"/>
      <c r="Y113" s="25"/>
      <c r="Z113" s="25"/>
      <c r="AA113" s="25"/>
      <c r="AB113" s="25"/>
      <c r="AC113" s="25"/>
      <c r="AD113" s="25"/>
      <c r="AE113" s="25"/>
      <c r="AF113" s="25"/>
      <c r="AG113" s="25"/>
      <c r="AH113" s="25"/>
      <c r="AI113" s="25"/>
      <c r="AJ113" s="25"/>
      <c r="AK113" s="25"/>
      <c r="AL113" s="25"/>
      <c r="AM113" s="25"/>
      <c r="AN113" s="25"/>
      <c r="AO113" s="25"/>
      <c r="AP113" s="25"/>
    </row>
    <row r="114" spans="11:42" x14ac:dyDescent="0.35">
      <c r="L114" s="24" t="str">
        <f t="shared" si="2"/>
        <v/>
      </c>
      <c r="M114" s="25"/>
      <c r="N114" s="25"/>
      <c r="O114" s="25"/>
      <c r="P114" s="25"/>
      <c r="Q114" s="25"/>
      <c r="R114" s="25"/>
      <c r="S114" s="25"/>
      <c r="T114" s="25"/>
      <c r="U114" s="25"/>
      <c r="V114" s="25"/>
      <c r="W114" s="25"/>
      <c r="X114" s="25"/>
      <c r="Y114" s="25"/>
      <c r="Z114" s="25"/>
      <c r="AA114" s="25"/>
      <c r="AB114" s="25"/>
      <c r="AC114" s="25"/>
      <c r="AD114" s="25"/>
      <c r="AE114" s="25"/>
      <c r="AF114" s="25"/>
      <c r="AG114" s="25"/>
      <c r="AH114" s="25"/>
      <c r="AI114" s="25"/>
      <c r="AJ114" s="25"/>
      <c r="AK114" s="25"/>
      <c r="AL114" s="25"/>
      <c r="AM114" s="25"/>
      <c r="AN114" s="25"/>
      <c r="AO114" s="25"/>
      <c r="AP114" s="25"/>
    </row>
    <row r="115" spans="11:42" x14ac:dyDescent="0.35">
      <c r="L115" s="24" t="str">
        <f t="shared" si="2"/>
        <v/>
      </c>
      <c r="M115" s="25"/>
      <c r="N115" s="25"/>
      <c r="O115" s="25"/>
      <c r="P115" s="25"/>
      <c r="Q115" s="25"/>
      <c r="R115" s="25"/>
      <c r="S115" s="25"/>
      <c r="T115" s="25"/>
      <c r="U115" s="25"/>
      <c r="V115" s="25"/>
      <c r="W115" s="25"/>
      <c r="X115" s="25"/>
      <c r="Y115" s="25"/>
      <c r="Z115" s="25"/>
      <c r="AA115" s="25"/>
      <c r="AB115" s="25"/>
      <c r="AC115" s="25"/>
      <c r="AD115" s="25"/>
      <c r="AE115" s="25"/>
      <c r="AF115" s="25"/>
      <c r="AG115" s="25"/>
      <c r="AH115" s="25"/>
      <c r="AI115" s="25"/>
      <c r="AJ115" s="25"/>
      <c r="AK115" s="25"/>
      <c r="AL115" s="25"/>
      <c r="AM115" s="25"/>
      <c r="AN115" s="25"/>
      <c r="AO115" s="25"/>
      <c r="AP115" s="25"/>
    </row>
    <row r="116" spans="11:42" x14ac:dyDescent="0.35">
      <c r="L116" s="24" t="str">
        <f t="shared" si="2"/>
        <v/>
      </c>
      <c r="M116" s="25"/>
      <c r="N116" s="25"/>
      <c r="O116" s="25"/>
      <c r="P116" s="25"/>
      <c r="Q116" s="25"/>
      <c r="R116" s="25"/>
      <c r="S116" s="25"/>
      <c r="T116" s="25"/>
      <c r="U116" s="25"/>
      <c r="V116" s="25"/>
      <c r="W116" s="25"/>
      <c r="X116" s="25"/>
      <c r="Y116" s="25"/>
      <c r="Z116" s="25"/>
      <c r="AA116" s="25"/>
      <c r="AB116" s="25"/>
      <c r="AC116" s="25"/>
      <c r="AD116" s="25"/>
      <c r="AE116" s="25"/>
      <c r="AF116" s="25"/>
      <c r="AG116" s="25"/>
      <c r="AH116" s="25"/>
      <c r="AI116" s="25"/>
      <c r="AJ116" s="25"/>
      <c r="AK116" s="25"/>
      <c r="AL116" s="25"/>
      <c r="AM116" s="25"/>
      <c r="AN116" s="25"/>
      <c r="AO116" s="25"/>
      <c r="AP116" s="25"/>
    </row>
    <row r="118" spans="11:42" x14ac:dyDescent="0.35">
      <c r="L118" s="91" t="s">
        <v>86</v>
      </c>
    </row>
    <row r="119" spans="11:42" x14ac:dyDescent="0.35">
      <c r="K119" s="90"/>
      <c r="L119" s="135" t="s">
        <v>44</v>
      </c>
      <c r="M119" s="136" t="s">
        <v>45</v>
      </c>
      <c r="N119" s="136"/>
      <c r="O119" s="136"/>
      <c r="P119" s="136"/>
      <c r="Q119" s="136"/>
      <c r="R119" s="136"/>
      <c r="S119" s="136"/>
      <c r="T119" s="136"/>
      <c r="U119" s="136"/>
      <c r="V119" s="136"/>
      <c r="W119" s="136"/>
      <c r="X119" s="136"/>
      <c r="Y119" s="136"/>
      <c r="Z119" s="136"/>
      <c r="AA119" s="136"/>
      <c r="AB119" s="136"/>
      <c r="AC119" s="136"/>
      <c r="AD119" s="136"/>
      <c r="AE119" s="136"/>
      <c r="AF119" s="136"/>
      <c r="AG119" s="136"/>
      <c r="AH119" s="136"/>
      <c r="AI119" s="136"/>
      <c r="AJ119" s="136"/>
      <c r="AK119" s="136"/>
      <c r="AL119" s="136"/>
      <c r="AM119" s="136"/>
      <c r="AN119" s="136"/>
      <c r="AO119" s="136"/>
      <c r="AP119" s="136"/>
    </row>
    <row r="120" spans="11:42" x14ac:dyDescent="0.35">
      <c r="L120" s="135"/>
      <c r="M120" s="23">
        <v>1</v>
      </c>
      <c r="N120" s="23">
        <v>2</v>
      </c>
      <c r="O120" s="23">
        <v>3</v>
      </c>
      <c r="P120" s="23">
        <v>4</v>
      </c>
      <c r="Q120" s="23">
        <v>5</v>
      </c>
      <c r="R120" s="23">
        <v>6</v>
      </c>
      <c r="S120" s="23">
        <v>7</v>
      </c>
      <c r="T120" s="23">
        <v>8</v>
      </c>
      <c r="U120" s="23">
        <v>9</v>
      </c>
      <c r="V120" s="23">
        <v>10</v>
      </c>
      <c r="W120" s="23">
        <v>11</v>
      </c>
      <c r="X120" s="23">
        <v>12</v>
      </c>
      <c r="Y120" s="23">
        <v>13</v>
      </c>
      <c r="Z120" s="23">
        <v>14</v>
      </c>
      <c r="AA120" s="23">
        <v>15</v>
      </c>
      <c r="AB120" s="23">
        <v>16</v>
      </c>
      <c r="AC120" s="23">
        <v>17</v>
      </c>
      <c r="AD120" s="23">
        <v>18</v>
      </c>
      <c r="AE120" s="23">
        <v>19</v>
      </c>
      <c r="AF120" s="23">
        <v>20</v>
      </c>
      <c r="AG120" s="23">
        <v>21</v>
      </c>
      <c r="AH120" s="23">
        <v>22</v>
      </c>
      <c r="AI120" s="23">
        <v>23</v>
      </c>
      <c r="AJ120" s="23">
        <v>24</v>
      </c>
      <c r="AK120" s="23">
        <v>25</v>
      </c>
      <c r="AL120" s="23">
        <v>26</v>
      </c>
      <c r="AM120" s="23">
        <v>27</v>
      </c>
      <c r="AN120" s="23">
        <v>28</v>
      </c>
      <c r="AO120" s="23">
        <v>29</v>
      </c>
      <c r="AP120" s="23">
        <v>30</v>
      </c>
    </row>
    <row r="121" spans="11:42" x14ac:dyDescent="0.35">
      <c r="L121" s="24" t="str">
        <f>IF(AND(ROW(K5)+12&gt;=$G$11,ROW(K5)+12&lt;=$I$11),ROW(K5)+12,"")</f>
        <v/>
      </c>
      <c r="M121" s="25"/>
      <c r="N121" s="25"/>
      <c r="O121" s="25"/>
      <c r="P121" s="25"/>
      <c r="Q121" s="25"/>
      <c r="R121" s="25"/>
      <c r="S121" s="25"/>
      <c r="T121" s="25"/>
      <c r="U121" s="25"/>
      <c r="V121" s="25"/>
      <c r="W121" s="25"/>
      <c r="X121" s="25"/>
      <c r="Y121" s="25"/>
      <c r="Z121" s="25"/>
      <c r="AA121" s="25"/>
      <c r="AB121" s="25"/>
      <c r="AC121" s="25"/>
      <c r="AD121" s="25"/>
      <c r="AE121" s="25"/>
      <c r="AF121" s="25"/>
      <c r="AG121" s="25"/>
      <c r="AH121" s="25"/>
      <c r="AI121" s="25"/>
      <c r="AJ121" s="25"/>
      <c r="AK121" s="25"/>
      <c r="AL121" s="25"/>
      <c r="AM121" s="25"/>
      <c r="AN121" s="25"/>
      <c r="AO121" s="25"/>
      <c r="AP121" s="25"/>
    </row>
    <row r="122" spans="11:42" x14ac:dyDescent="0.35">
      <c r="L122" s="24">
        <v>18</v>
      </c>
      <c r="M122" s="94"/>
      <c r="N122" s="94"/>
      <c r="O122" s="94"/>
      <c r="P122" s="94"/>
      <c r="Q122" s="94"/>
      <c r="R122" s="94"/>
      <c r="S122" s="94"/>
      <c r="T122" s="94"/>
      <c r="U122" s="94"/>
      <c r="V122" s="94"/>
      <c r="W122" s="94"/>
      <c r="X122" s="94"/>
      <c r="Y122" s="94"/>
      <c r="Z122" s="94"/>
      <c r="AA122" s="94"/>
      <c r="AB122" s="103"/>
      <c r="AC122" s="103"/>
      <c r="AD122" s="103"/>
      <c r="AE122" s="103"/>
      <c r="AF122" s="103"/>
      <c r="AG122" s="25"/>
      <c r="AH122" s="25"/>
      <c r="AI122" s="25"/>
      <c r="AJ122" s="25"/>
      <c r="AK122" s="25"/>
      <c r="AL122" s="25"/>
      <c r="AM122" s="25"/>
      <c r="AN122" s="25"/>
      <c r="AO122" s="25"/>
      <c r="AP122" s="25"/>
    </row>
    <row r="123" spans="11:42" x14ac:dyDescent="0.35">
      <c r="L123" s="24">
        <v>19</v>
      </c>
      <c r="M123" s="94"/>
      <c r="N123" s="94"/>
      <c r="O123" s="94"/>
      <c r="P123" s="94"/>
      <c r="Q123" s="94"/>
      <c r="R123" s="94"/>
      <c r="S123" s="94"/>
      <c r="T123" s="94"/>
      <c r="U123" s="94"/>
      <c r="V123" s="94"/>
      <c r="W123" s="94"/>
      <c r="X123" s="94"/>
      <c r="Y123" s="94"/>
      <c r="Z123" s="94"/>
      <c r="AA123" s="94"/>
      <c r="AB123" s="103"/>
      <c r="AC123" s="103"/>
      <c r="AD123" s="103"/>
      <c r="AE123" s="103"/>
      <c r="AF123" s="103"/>
      <c r="AG123" s="25"/>
      <c r="AH123" s="25"/>
      <c r="AI123" s="25"/>
      <c r="AJ123" s="25"/>
      <c r="AK123" s="25"/>
      <c r="AL123" s="25"/>
      <c r="AM123" s="25"/>
      <c r="AN123" s="25"/>
      <c r="AO123" s="25"/>
      <c r="AP123" s="25"/>
    </row>
    <row r="124" spans="11:42" x14ac:dyDescent="0.35">
      <c r="L124" s="24">
        <v>20</v>
      </c>
      <c r="M124" s="94"/>
      <c r="N124" s="94"/>
      <c r="O124" s="94"/>
      <c r="P124" s="94"/>
      <c r="Q124" s="94"/>
      <c r="R124" s="94"/>
      <c r="S124" s="94"/>
      <c r="T124" s="94"/>
      <c r="U124" s="94"/>
      <c r="V124" s="94"/>
      <c r="W124" s="94"/>
      <c r="X124" s="94"/>
      <c r="Y124" s="94"/>
      <c r="Z124" s="94"/>
      <c r="AA124" s="94"/>
      <c r="AB124" s="103"/>
      <c r="AC124" s="103"/>
      <c r="AD124" s="103"/>
      <c r="AE124" s="103"/>
      <c r="AF124" s="103"/>
      <c r="AG124" s="25"/>
      <c r="AH124" s="25"/>
      <c r="AI124" s="25"/>
      <c r="AJ124" s="25"/>
      <c r="AK124" s="25"/>
      <c r="AL124" s="25"/>
      <c r="AM124" s="25"/>
      <c r="AN124" s="25"/>
      <c r="AO124" s="25"/>
      <c r="AP124" s="25"/>
    </row>
    <row r="125" spans="11:42" x14ac:dyDescent="0.35">
      <c r="L125" s="24">
        <v>21</v>
      </c>
      <c r="M125" s="94"/>
      <c r="N125" s="94"/>
      <c r="O125" s="94"/>
      <c r="P125" s="94"/>
      <c r="Q125" s="94"/>
      <c r="R125" s="94"/>
      <c r="S125" s="94"/>
      <c r="T125" s="94"/>
      <c r="U125" s="94"/>
      <c r="V125" s="94"/>
      <c r="W125" s="94"/>
      <c r="X125" s="94"/>
      <c r="Y125" s="94"/>
      <c r="Z125" s="94"/>
      <c r="AA125" s="94"/>
      <c r="AB125" s="103"/>
      <c r="AC125" s="103"/>
      <c r="AD125" s="103"/>
      <c r="AE125" s="103"/>
      <c r="AF125" s="103"/>
      <c r="AG125" s="25"/>
      <c r="AH125" s="25"/>
      <c r="AI125" s="25"/>
      <c r="AJ125" s="25"/>
      <c r="AK125" s="25"/>
      <c r="AL125" s="25"/>
      <c r="AM125" s="25"/>
      <c r="AN125" s="25"/>
      <c r="AO125" s="25"/>
      <c r="AP125" s="25"/>
    </row>
    <row r="126" spans="11:42" x14ac:dyDescent="0.35">
      <c r="L126" s="24">
        <v>22</v>
      </c>
      <c r="M126" s="94"/>
      <c r="N126" s="94"/>
      <c r="O126" s="94"/>
      <c r="P126" s="94"/>
      <c r="Q126" s="94"/>
      <c r="R126" s="94"/>
      <c r="S126" s="94"/>
      <c r="T126" s="94"/>
      <c r="U126" s="94"/>
      <c r="V126" s="94"/>
      <c r="W126" s="94"/>
      <c r="X126" s="94"/>
      <c r="Y126" s="94"/>
      <c r="Z126" s="94"/>
      <c r="AA126" s="94"/>
      <c r="AB126" s="103"/>
      <c r="AC126" s="103"/>
      <c r="AD126" s="103"/>
      <c r="AE126" s="103"/>
      <c r="AF126" s="103"/>
      <c r="AG126" s="25"/>
      <c r="AH126" s="25"/>
      <c r="AI126" s="25"/>
      <c r="AJ126" s="25"/>
      <c r="AK126" s="25"/>
      <c r="AL126" s="25"/>
      <c r="AM126" s="25"/>
      <c r="AN126" s="25"/>
      <c r="AO126" s="25"/>
      <c r="AP126" s="25"/>
    </row>
    <row r="127" spans="11:42" x14ac:dyDescent="0.35">
      <c r="L127" s="24">
        <v>23</v>
      </c>
      <c r="M127" s="94"/>
      <c r="N127" s="94"/>
      <c r="O127" s="94"/>
      <c r="P127" s="94"/>
      <c r="Q127" s="94"/>
      <c r="R127" s="94"/>
      <c r="S127" s="94"/>
      <c r="T127" s="94"/>
      <c r="U127" s="94"/>
      <c r="V127" s="94"/>
      <c r="W127" s="94"/>
      <c r="X127" s="94"/>
      <c r="Y127" s="94"/>
      <c r="Z127" s="94"/>
      <c r="AA127" s="94"/>
      <c r="AB127" s="103"/>
      <c r="AC127" s="103"/>
      <c r="AD127" s="103"/>
      <c r="AE127" s="103"/>
      <c r="AF127" s="103"/>
      <c r="AG127" s="25"/>
      <c r="AH127" s="25"/>
      <c r="AI127" s="25"/>
      <c r="AJ127" s="25"/>
      <c r="AK127" s="25"/>
      <c r="AL127" s="25"/>
      <c r="AM127" s="25"/>
      <c r="AN127" s="25"/>
      <c r="AO127" s="25"/>
      <c r="AP127" s="25"/>
    </row>
    <row r="128" spans="11:42" x14ac:dyDescent="0.35">
      <c r="L128" s="24">
        <v>24</v>
      </c>
      <c r="M128" s="94"/>
      <c r="N128" s="94"/>
      <c r="O128" s="94"/>
      <c r="P128" s="94"/>
      <c r="Q128" s="94"/>
      <c r="R128" s="94"/>
      <c r="S128" s="94"/>
      <c r="T128" s="94"/>
      <c r="U128" s="94"/>
      <c r="V128" s="94"/>
      <c r="W128" s="94"/>
      <c r="X128" s="94"/>
      <c r="Y128" s="94"/>
      <c r="Z128" s="94"/>
      <c r="AA128" s="94"/>
      <c r="AB128" s="103"/>
      <c r="AC128" s="103"/>
      <c r="AD128" s="103"/>
      <c r="AE128" s="103"/>
      <c r="AF128" s="103"/>
      <c r="AG128" s="25"/>
      <c r="AH128" s="25"/>
      <c r="AI128" s="25"/>
      <c r="AJ128" s="25"/>
      <c r="AK128" s="25"/>
      <c r="AL128" s="25"/>
      <c r="AM128" s="25"/>
      <c r="AN128" s="25"/>
      <c r="AO128" s="25"/>
      <c r="AP128" s="25"/>
    </row>
    <row r="129" spans="12:42" x14ac:dyDescent="0.35">
      <c r="L129" s="24">
        <v>25</v>
      </c>
      <c r="M129" s="94"/>
      <c r="N129" s="94"/>
      <c r="O129" s="94"/>
      <c r="P129" s="94"/>
      <c r="Q129" s="94"/>
      <c r="R129" s="94"/>
      <c r="S129" s="94"/>
      <c r="T129" s="94"/>
      <c r="U129" s="94"/>
      <c r="V129" s="94"/>
      <c r="W129" s="94"/>
      <c r="X129" s="94"/>
      <c r="Y129" s="94"/>
      <c r="Z129" s="94"/>
      <c r="AA129" s="94"/>
      <c r="AB129" s="103"/>
      <c r="AC129" s="103"/>
      <c r="AD129" s="103"/>
      <c r="AE129" s="103"/>
      <c r="AF129" s="103"/>
      <c r="AG129" s="25"/>
      <c r="AH129" s="25"/>
      <c r="AI129" s="25"/>
      <c r="AJ129" s="25"/>
      <c r="AK129" s="25"/>
      <c r="AL129" s="25"/>
      <c r="AM129" s="25"/>
      <c r="AN129" s="25"/>
      <c r="AO129" s="25"/>
      <c r="AP129" s="25"/>
    </row>
    <row r="130" spans="12:42" x14ac:dyDescent="0.35">
      <c r="L130" s="24">
        <v>26</v>
      </c>
      <c r="M130" s="94"/>
      <c r="N130" s="94"/>
      <c r="O130" s="94"/>
      <c r="P130" s="94"/>
      <c r="Q130" s="94"/>
      <c r="R130" s="94"/>
      <c r="S130" s="94"/>
      <c r="T130" s="94"/>
      <c r="U130" s="94"/>
      <c r="V130" s="94"/>
      <c r="W130" s="94"/>
      <c r="X130" s="94"/>
      <c r="Y130" s="94"/>
      <c r="Z130" s="94"/>
      <c r="AA130" s="94"/>
      <c r="AB130" s="103"/>
      <c r="AC130" s="103"/>
      <c r="AD130" s="103"/>
      <c r="AE130" s="103"/>
      <c r="AF130" s="103"/>
      <c r="AG130" s="25"/>
      <c r="AH130" s="25"/>
      <c r="AI130" s="25"/>
      <c r="AJ130" s="25"/>
      <c r="AK130" s="25"/>
      <c r="AL130" s="25"/>
      <c r="AM130" s="25"/>
      <c r="AN130" s="25"/>
      <c r="AO130" s="25"/>
      <c r="AP130" s="25"/>
    </row>
    <row r="131" spans="12:42" x14ac:dyDescent="0.35">
      <c r="L131" s="24">
        <v>27</v>
      </c>
      <c r="M131" s="94"/>
      <c r="N131" s="94"/>
      <c r="O131" s="94"/>
      <c r="P131" s="94"/>
      <c r="Q131" s="94"/>
      <c r="R131" s="94"/>
      <c r="S131" s="94"/>
      <c r="T131" s="94"/>
      <c r="U131" s="94"/>
      <c r="V131" s="94"/>
      <c r="W131" s="94"/>
      <c r="X131" s="94"/>
      <c r="Y131" s="94"/>
      <c r="Z131" s="94"/>
      <c r="AA131" s="94"/>
      <c r="AB131" s="103"/>
      <c r="AC131" s="103"/>
      <c r="AD131" s="103"/>
      <c r="AE131" s="103"/>
      <c r="AF131" s="103"/>
      <c r="AG131" s="25"/>
      <c r="AH131" s="25"/>
      <c r="AI131" s="25"/>
      <c r="AJ131" s="25"/>
      <c r="AK131" s="25"/>
      <c r="AL131" s="25"/>
      <c r="AM131" s="25"/>
      <c r="AN131" s="25"/>
      <c r="AO131" s="25"/>
      <c r="AP131" s="25"/>
    </row>
    <row r="132" spans="12:42" x14ac:dyDescent="0.35">
      <c r="L132" s="24">
        <v>28</v>
      </c>
      <c r="M132" s="94"/>
      <c r="N132" s="94"/>
      <c r="O132" s="94"/>
      <c r="P132" s="94"/>
      <c r="Q132" s="94"/>
      <c r="R132" s="94"/>
      <c r="S132" s="94"/>
      <c r="T132" s="94"/>
      <c r="U132" s="94"/>
      <c r="V132" s="94"/>
      <c r="W132" s="94"/>
      <c r="X132" s="94"/>
      <c r="Y132" s="94"/>
      <c r="Z132" s="94"/>
      <c r="AA132" s="94"/>
      <c r="AB132" s="103"/>
      <c r="AC132" s="103"/>
      <c r="AD132" s="103"/>
      <c r="AE132" s="103"/>
      <c r="AF132" s="103"/>
      <c r="AG132" s="25"/>
      <c r="AH132" s="25"/>
      <c r="AI132" s="25"/>
      <c r="AJ132" s="25"/>
      <c r="AK132" s="25"/>
      <c r="AL132" s="25"/>
      <c r="AM132" s="25"/>
      <c r="AN132" s="25"/>
      <c r="AO132" s="25"/>
      <c r="AP132" s="25"/>
    </row>
    <row r="133" spans="12:42" x14ac:dyDescent="0.35">
      <c r="L133" s="24">
        <v>29</v>
      </c>
      <c r="M133" s="94"/>
      <c r="N133" s="94"/>
      <c r="O133" s="94"/>
      <c r="P133" s="94"/>
      <c r="Q133" s="94"/>
      <c r="R133" s="94"/>
      <c r="S133" s="94"/>
      <c r="T133" s="94"/>
      <c r="U133" s="94"/>
      <c r="V133" s="94"/>
      <c r="W133" s="94"/>
      <c r="X133" s="94"/>
      <c r="Y133" s="94"/>
      <c r="Z133" s="94"/>
      <c r="AA133" s="94"/>
      <c r="AB133" s="103"/>
      <c r="AC133" s="103"/>
      <c r="AD133" s="103"/>
      <c r="AE133" s="103"/>
      <c r="AF133" s="103"/>
      <c r="AG133" s="25"/>
      <c r="AH133" s="25"/>
      <c r="AI133" s="25"/>
      <c r="AJ133" s="25"/>
      <c r="AK133" s="25"/>
      <c r="AL133" s="25"/>
      <c r="AM133" s="25"/>
      <c r="AN133" s="25"/>
      <c r="AO133" s="25"/>
      <c r="AP133" s="25"/>
    </row>
    <row r="134" spans="12:42" x14ac:dyDescent="0.35">
      <c r="L134" s="24">
        <v>30</v>
      </c>
      <c r="M134" s="94"/>
      <c r="N134" s="94"/>
      <c r="O134" s="94"/>
      <c r="P134" s="94"/>
      <c r="Q134" s="94"/>
      <c r="R134" s="94"/>
      <c r="S134" s="94"/>
      <c r="T134" s="94"/>
      <c r="U134" s="94"/>
      <c r="V134" s="94"/>
      <c r="W134" s="94"/>
      <c r="X134" s="94"/>
      <c r="Y134" s="94"/>
      <c r="Z134" s="94"/>
      <c r="AA134" s="94"/>
      <c r="AB134" s="103"/>
      <c r="AC134" s="103"/>
      <c r="AD134" s="103"/>
      <c r="AE134" s="103"/>
      <c r="AF134" s="103"/>
      <c r="AG134" s="25"/>
      <c r="AH134" s="25"/>
      <c r="AI134" s="25"/>
      <c r="AJ134" s="25"/>
      <c r="AK134" s="25"/>
      <c r="AL134" s="25"/>
      <c r="AM134" s="25"/>
      <c r="AN134" s="25"/>
      <c r="AO134" s="25"/>
      <c r="AP134" s="25"/>
    </row>
    <row r="135" spans="12:42" x14ac:dyDescent="0.35">
      <c r="L135" s="24">
        <v>31</v>
      </c>
      <c r="M135" s="94"/>
      <c r="N135" s="94"/>
      <c r="O135" s="94"/>
      <c r="P135" s="94"/>
      <c r="Q135" s="94"/>
      <c r="R135" s="94"/>
      <c r="S135" s="94"/>
      <c r="T135" s="94"/>
      <c r="U135" s="94"/>
      <c r="V135" s="94"/>
      <c r="W135" s="94"/>
      <c r="X135" s="94"/>
      <c r="Y135" s="94"/>
      <c r="Z135" s="94"/>
      <c r="AA135" s="94"/>
      <c r="AB135" s="103"/>
      <c r="AC135" s="103"/>
      <c r="AD135" s="103"/>
      <c r="AE135" s="103"/>
      <c r="AF135" s="103"/>
      <c r="AG135" s="25"/>
      <c r="AH135" s="25"/>
      <c r="AI135" s="25"/>
      <c r="AJ135" s="25"/>
      <c r="AK135" s="25"/>
      <c r="AL135" s="25"/>
      <c r="AM135" s="25"/>
      <c r="AN135" s="25"/>
      <c r="AO135" s="25"/>
      <c r="AP135" s="25"/>
    </row>
    <row r="136" spans="12:42" x14ac:dyDescent="0.35">
      <c r="L136" s="24">
        <v>32</v>
      </c>
      <c r="M136" s="94"/>
      <c r="N136" s="94"/>
      <c r="O136" s="94"/>
      <c r="P136" s="94"/>
      <c r="Q136" s="94"/>
      <c r="R136" s="94"/>
      <c r="S136" s="94"/>
      <c r="T136" s="94"/>
      <c r="U136" s="94"/>
      <c r="V136" s="94"/>
      <c r="W136" s="94"/>
      <c r="X136" s="94"/>
      <c r="Y136" s="94"/>
      <c r="Z136" s="94"/>
      <c r="AA136" s="94"/>
      <c r="AB136" s="103"/>
      <c r="AC136" s="103"/>
      <c r="AD136" s="103"/>
      <c r="AE136" s="103"/>
      <c r="AF136" s="103"/>
      <c r="AG136" s="25"/>
      <c r="AH136" s="25"/>
      <c r="AI136" s="25"/>
      <c r="AJ136" s="25"/>
      <c r="AK136" s="25"/>
      <c r="AL136" s="25"/>
      <c r="AM136" s="25"/>
      <c r="AN136" s="25"/>
      <c r="AO136" s="25"/>
      <c r="AP136" s="25"/>
    </row>
    <row r="137" spans="12:42" x14ac:dyDescent="0.35">
      <c r="L137" s="24">
        <v>33</v>
      </c>
      <c r="M137" s="94"/>
      <c r="N137" s="94"/>
      <c r="O137" s="94"/>
      <c r="P137" s="94"/>
      <c r="Q137" s="94"/>
      <c r="R137" s="94"/>
      <c r="S137" s="94"/>
      <c r="T137" s="94"/>
      <c r="U137" s="94"/>
      <c r="V137" s="94"/>
      <c r="W137" s="94"/>
      <c r="X137" s="94"/>
      <c r="Y137" s="94"/>
      <c r="Z137" s="94"/>
      <c r="AA137" s="94"/>
      <c r="AB137" s="103"/>
      <c r="AC137" s="103"/>
      <c r="AD137" s="103"/>
      <c r="AE137" s="103"/>
      <c r="AF137" s="103"/>
      <c r="AG137" s="25"/>
      <c r="AH137" s="25"/>
      <c r="AI137" s="25"/>
      <c r="AJ137" s="25"/>
      <c r="AK137" s="25"/>
      <c r="AL137" s="25"/>
      <c r="AM137" s="25"/>
      <c r="AN137" s="25"/>
      <c r="AO137" s="25"/>
      <c r="AP137" s="25"/>
    </row>
    <row r="138" spans="12:42" x14ac:dyDescent="0.35">
      <c r="L138" s="24">
        <v>34</v>
      </c>
      <c r="M138" s="94"/>
      <c r="N138" s="94"/>
      <c r="O138" s="94"/>
      <c r="P138" s="94"/>
      <c r="Q138" s="94"/>
      <c r="R138" s="94"/>
      <c r="S138" s="94"/>
      <c r="T138" s="94"/>
      <c r="U138" s="94"/>
      <c r="V138" s="94"/>
      <c r="W138" s="94"/>
      <c r="X138" s="94"/>
      <c r="Y138" s="94"/>
      <c r="Z138" s="94"/>
      <c r="AA138" s="94"/>
      <c r="AB138" s="103"/>
      <c r="AC138" s="103"/>
      <c r="AD138" s="103"/>
      <c r="AE138" s="103"/>
      <c r="AF138" s="103"/>
      <c r="AG138" s="25"/>
      <c r="AH138" s="25"/>
      <c r="AI138" s="25"/>
      <c r="AJ138" s="25"/>
      <c r="AK138" s="25"/>
      <c r="AL138" s="25"/>
      <c r="AM138" s="25"/>
      <c r="AN138" s="25"/>
      <c r="AO138" s="25"/>
      <c r="AP138" s="25"/>
    </row>
    <row r="139" spans="12:42" x14ac:dyDescent="0.35">
      <c r="L139" s="24">
        <v>35</v>
      </c>
      <c r="M139" s="94"/>
      <c r="N139" s="94"/>
      <c r="O139" s="94"/>
      <c r="P139" s="94"/>
      <c r="Q139" s="94"/>
      <c r="R139" s="94"/>
      <c r="S139" s="94"/>
      <c r="T139" s="94"/>
      <c r="U139" s="94"/>
      <c r="V139" s="94"/>
      <c r="W139" s="94"/>
      <c r="X139" s="94"/>
      <c r="Y139" s="94"/>
      <c r="Z139" s="94"/>
      <c r="AA139" s="94"/>
      <c r="AB139" s="103"/>
      <c r="AC139" s="103"/>
      <c r="AD139" s="103"/>
      <c r="AE139" s="103"/>
      <c r="AF139" s="103"/>
      <c r="AG139" s="25"/>
      <c r="AH139" s="25"/>
      <c r="AI139" s="25"/>
      <c r="AJ139" s="25"/>
      <c r="AK139" s="25"/>
      <c r="AL139" s="25"/>
      <c r="AM139" s="25"/>
      <c r="AN139" s="25"/>
      <c r="AO139" s="25"/>
      <c r="AP139" s="25"/>
    </row>
    <row r="140" spans="12:42" x14ac:dyDescent="0.35">
      <c r="L140" s="24">
        <v>36</v>
      </c>
      <c r="M140" s="94"/>
      <c r="N140" s="94"/>
      <c r="O140" s="94"/>
      <c r="P140" s="94"/>
      <c r="Q140" s="94"/>
      <c r="R140" s="94"/>
      <c r="S140" s="94"/>
      <c r="T140" s="94"/>
      <c r="U140" s="94"/>
      <c r="V140" s="94"/>
      <c r="W140" s="94"/>
      <c r="X140" s="94"/>
      <c r="Y140" s="94"/>
      <c r="Z140" s="94"/>
      <c r="AA140" s="94"/>
      <c r="AB140" s="103"/>
      <c r="AC140" s="103"/>
      <c r="AD140" s="103"/>
      <c r="AE140" s="103"/>
      <c r="AF140" s="103"/>
      <c r="AG140" s="25"/>
      <c r="AH140" s="25"/>
      <c r="AI140" s="25"/>
      <c r="AJ140" s="25"/>
      <c r="AK140" s="25"/>
      <c r="AL140" s="25"/>
      <c r="AM140" s="25"/>
      <c r="AN140" s="25"/>
      <c r="AO140" s="25"/>
      <c r="AP140" s="25"/>
    </row>
    <row r="141" spans="12:42" x14ac:dyDescent="0.35">
      <c r="L141" s="24">
        <v>37</v>
      </c>
      <c r="M141" s="94"/>
      <c r="N141" s="94"/>
      <c r="O141" s="94"/>
      <c r="P141" s="94"/>
      <c r="Q141" s="94"/>
      <c r="R141" s="94"/>
      <c r="S141" s="94"/>
      <c r="T141" s="94"/>
      <c r="U141" s="94"/>
      <c r="V141" s="94"/>
      <c r="W141" s="94"/>
      <c r="X141" s="94"/>
      <c r="Y141" s="94"/>
      <c r="Z141" s="94"/>
      <c r="AA141" s="94"/>
      <c r="AB141" s="103"/>
      <c r="AC141" s="103"/>
      <c r="AD141" s="103"/>
      <c r="AE141" s="103"/>
      <c r="AF141" s="103"/>
      <c r="AG141" s="25"/>
      <c r="AH141" s="25"/>
      <c r="AI141" s="25"/>
      <c r="AJ141" s="25"/>
      <c r="AK141" s="25"/>
      <c r="AL141" s="25"/>
      <c r="AM141" s="25"/>
      <c r="AN141" s="25"/>
      <c r="AO141" s="25"/>
      <c r="AP141" s="25"/>
    </row>
    <row r="142" spans="12:42" x14ac:dyDescent="0.35">
      <c r="L142" s="24">
        <v>38</v>
      </c>
      <c r="M142" s="94"/>
      <c r="N142" s="94"/>
      <c r="O142" s="94"/>
      <c r="P142" s="94"/>
      <c r="Q142" s="94"/>
      <c r="R142" s="94"/>
      <c r="S142" s="94"/>
      <c r="T142" s="94"/>
      <c r="U142" s="94"/>
      <c r="V142" s="94"/>
      <c r="W142" s="94"/>
      <c r="X142" s="94"/>
      <c r="Y142" s="94"/>
      <c r="Z142" s="94"/>
      <c r="AA142" s="94"/>
      <c r="AB142" s="103"/>
      <c r="AC142" s="103"/>
      <c r="AD142" s="103"/>
      <c r="AE142" s="103"/>
      <c r="AF142" s="103"/>
      <c r="AG142" s="25"/>
      <c r="AH142" s="25"/>
      <c r="AI142" s="25"/>
      <c r="AJ142" s="25"/>
      <c r="AK142" s="25"/>
      <c r="AL142" s="25"/>
      <c r="AM142" s="25"/>
      <c r="AN142" s="25"/>
      <c r="AO142" s="25"/>
      <c r="AP142" s="25"/>
    </row>
    <row r="143" spans="12:42" x14ac:dyDescent="0.35">
      <c r="L143" s="24">
        <v>39</v>
      </c>
      <c r="M143" s="94"/>
      <c r="N143" s="94"/>
      <c r="O143" s="94"/>
      <c r="P143" s="94"/>
      <c r="Q143" s="94"/>
      <c r="R143" s="94"/>
      <c r="S143" s="94"/>
      <c r="T143" s="94"/>
      <c r="U143" s="94"/>
      <c r="V143" s="94"/>
      <c r="W143" s="94"/>
      <c r="X143" s="94"/>
      <c r="Y143" s="94"/>
      <c r="Z143" s="94"/>
      <c r="AA143" s="94"/>
      <c r="AB143" s="103"/>
      <c r="AC143" s="103"/>
      <c r="AD143" s="103"/>
      <c r="AE143" s="103"/>
      <c r="AF143" s="103"/>
      <c r="AG143" s="25"/>
      <c r="AH143" s="25"/>
      <c r="AI143" s="25"/>
      <c r="AJ143" s="25"/>
      <c r="AK143" s="25"/>
      <c r="AL143" s="25"/>
      <c r="AM143" s="25"/>
      <c r="AN143" s="25"/>
      <c r="AO143" s="25"/>
      <c r="AP143" s="25"/>
    </row>
    <row r="144" spans="12:42" x14ac:dyDescent="0.35">
      <c r="L144" s="24">
        <v>40</v>
      </c>
      <c r="M144" s="94"/>
      <c r="N144" s="94"/>
      <c r="O144" s="94"/>
      <c r="P144" s="94"/>
      <c r="Q144" s="94"/>
      <c r="R144" s="94"/>
      <c r="S144" s="94"/>
      <c r="T144" s="94"/>
      <c r="U144" s="94"/>
      <c r="V144" s="94"/>
      <c r="W144" s="94"/>
      <c r="X144" s="94"/>
      <c r="Y144" s="94"/>
      <c r="Z144" s="94"/>
      <c r="AA144" s="94"/>
      <c r="AB144" s="103"/>
      <c r="AC144" s="103"/>
      <c r="AD144" s="103"/>
      <c r="AE144" s="103"/>
      <c r="AF144" s="103"/>
      <c r="AG144" s="25"/>
      <c r="AH144" s="25"/>
      <c r="AI144" s="25"/>
      <c r="AJ144" s="25"/>
      <c r="AK144" s="25"/>
      <c r="AL144" s="25"/>
      <c r="AM144" s="25"/>
      <c r="AN144" s="25"/>
      <c r="AO144" s="25"/>
      <c r="AP144" s="25"/>
    </row>
    <row r="145" spans="12:42" x14ac:dyDescent="0.35">
      <c r="L145" s="24">
        <v>41</v>
      </c>
      <c r="M145" s="94"/>
      <c r="N145" s="94"/>
      <c r="O145" s="94"/>
      <c r="P145" s="94"/>
      <c r="Q145" s="94"/>
      <c r="R145" s="94"/>
      <c r="S145" s="94"/>
      <c r="T145" s="94"/>
      <c r="U145" s="94"/>
      <c r="V145" s="94"/>
      <c r="W145" s="94"/>
      <c r="X145" s="94"/>
      <c r="Y145" s="94"/>
      <c r="Z145" s="94"/>
      <c r="AA145" s="94"/>
      <c r="AB145" s="103"/>
      <c r="AC145" s="103"/>
      <c r="AD145" s="103"/>
      <c r="AE145" s="103"/>
      <c r="AF145" s="103"/>
      <c r="AG145" s="25"/>
      <c r="AH145" s="25"/>
      <c r="AI145" s="25"/>
      <c r="AJ145" s="25"/>
      <c r="AK145" s="25"/>
      <c r="AL145" s="25"/>
      <c r="AM145" s="25"/>
      <c r="AN145" s="25"/>
      <c r="AO145" s="25"/>
      <c r="AP145" s="25"/>
    </row>
    <row r="146" spans="12:42" x14ac:dyDescent="0.35">
      <c r="L146" s="24">
        <v>42</v>
      </c>
      <c r="M146" s="94"/>
      <c r="N146" s="94"/>
      <c r="O146" s="94"/>
      <c r="P146" s="94"/>
      <c r="Q146" s="94"/>
      <c r="R146" s="94"/>
      <c r="S146" s="94"/>
      <c r="T146" s="94"/>
      <c r="U146" s="94"/>
      <c r="V146" s="94"/>
      <c r="W146" s="94"/>
      <c r="X146" s="94"/>
      <c r="Y146" s="94"/>
      <c r="Z146" s="94"/>
      <c r="AA146" s="94"/>
      <c r="AB146" s="103"/>
      <c r="AC146" s="103"/>
      <c r="AD146" s="103"/>
      <c r="AE146" s="103"/>
      <c r="AF146" s="103"/>
      <c r="AG146" s="25"/>
      <c r="AH146" s="25"/>
      <c r="AI146" s="25"/>
      <c r="AJ146" s="25"/>
      <c r="AK146" s="25"/>
      <c r="AL146" s="25"/>
      <c r="AM146" s="25"/>
      <c r="AN146" s="25"/>
      <c r="AO146" s="25"/>
      <c r="AP146" s="25"/>
    </row>
    <row r="147" spans="12:42" x14ac:dyDescent="0.35">
      <c r="L147" s="24">
        <v>43</v>
      </c>
      <c r="M147" s="94"/>
      <c r="N147" s="94"/>
      <c r="O147" s="94"/>
      <c r="P147" s="94"/>
      <c r="Q147" s="94"/>
      <c r="R147" s="94"/>
      <c r="S147" s="94"/>
      <c r="T147" s="94"/>
      <c r="U147" s="94"/>
      <c r="V147" s="94"/>
      <c r="W147" s="94"/>
      <c r="X147" s="94"/>
      <c r="Y147" s="94"/>
      <c r="Z147" s="94"/>
      <c r="AA147" s="94"/>
      <c r="AB147" s="103"/>
      <c r="AC147" s="103"/>
      <c r="AD147" s="103"/>
      <c r="AE147" s="103"/>
      <c r="AF147" s="103"/>
      <c r="AG147" s="25"/>
      <c r="AH147" s="25"/>
      <c r="AI147" s="25"/>
      <c r="AJ147" s="25"/>
      <c r="AK147" s="25"/>
      <c r="AL147" s="25"/>
      <c r="AM147" s="25"/>
      <c r="AN147" s="25"/>
      <c r="AO147" s="25"/>
      <c r="AP147" s="25"/>
    </row>
    <row r="148" spans="12:42" x14ac:dyDescent="0.35">
      <c r="L148" s="24">
        <v>44</v>
      </c>
      <c r="M148" s="94"/>
      <c r="N148" s="94"/>
      <c r="O148" s="94"/>
      <c r="P148" s="94"/>
      <c r="Q148" s="94"/>
      <c r="R148" s="94"/>
      <c r="S148" s="94"/>
      <c r="T148" s="94"/>
      <c r="U148" s="94"/>
      <c r="V148" s="94"/>
      <c r="W148" s="94"/>
      <c r="X148" s="94"/>
      <c r="Y148" s="94"/>
      <c r="Z148" s="94"/>
      <c r="AA148" s="94"/>
      <c r="AB148" s="103"/>
      <c r="AC148" s="103"/>
      <c r="AD148" s="103"/>
      <c r="AE148" s="103"/>
      <c r="AF148" s="103"/>
      <c r="AG148" s="25"/>
      <c r="AH148" s="25"/>
      <c r="AI148" s="25"/>
      <c r="AJ148" s="25"/>
      <c r="AK148" s="25"/>
      <c r="AL148" s="25"/>
      <c r="AM148" s="25"/>
      <c r="AN148" s="25"/>
      <c r="AO148" s="25"/>
      <c r="AP148" s="25"/>
    </row>
    <row r="149" spans="12:42" x14ac:dyDescent="0.35">
      <c r="L149" s="24">
        <v>45</v>
      </c>
      <c r="M149" s="94"/>
      <c r="N149" s="94"/>
      <c r="O149" s="94"/>
      <c r="P149" s="94"/>
      <c r="Q149" s="94"/>
      <c r="R149" s="94"/>
      <c r="S149" s="94"/>
      <c r="T149" s="94"/>
      <c r="U149" s="94"/>
      <c r="V149" s="94"/>
      <c r="W149" s="94"/>
      <c r="X149" s="94"/>
      <c r="Y149" s="94"/>
      <c r="Z149" s="94"/>
      <c r="AA149" s="94"/>
      <c r="AB149" s="103"/>
      <c r="AC149" s="103"/>
      <c r="AD149" s="103"/>
      <c r="AE149" s="103"/>
      <c r="AF149" s="103"/>
      <c r="AG149" s="25"/>
      <c r="AH149" s="25"/>
      <c r="AI149" s="25"/>
      <c r="AJ149" s="25"/>
      <c r="AK149" s="25"/>
      <c r="AL149" s="25"/>
      <c r="AM149" s="25"/>
      <c r="AN149" s="25"/>
      <c r="AO149" s="25"/>
      <c r="AP149" s="25"/>
    </row>
    <row r="150" spans="12:42" x14ac:dyDescent="0.35">
      <c r="L150" s="24">
        <v>46</v>
      </c>
      <c r="M150" s="94"/>
      <c r="N150" s="94"/>
      <c r="O150" s="94"/>
      <c r="P150" s="94"/>
      <c r="Q150" s="94"/>
      <c r="R150" s="94"/>
      <c r="S150" s="94"/>
      <c r="T150" s="94"/>
      <c r="U150" s="94"/>
      <c r="V150" s="94"/>
      <c r="W150" s="94"/>
      <c r="X150" s="94"/>
      <c r="Y150" s="94"/>
      <c r="Z150" s="94"/>
      <c r="AA150" s="94"/>
      <c r="AB150" s="103"/>
      <c r="AC150" s="103"/>
      <c r="AD150" s="103"/>
      <c r="AE150" s="103"/>
      <c r="AF150" s="103"/>
      <c r="AG150" s="25"/>
      <c r="AH150" s="25"/>
      <c r="AI150" s="25"/>
      <c r="AJ150" s="25"/>
      <c r="AK150" s="25"/>
      <c r="AL150" s="25"/>
      <c r="AM150" s="25"/>
      <c r="AN150" s="25"/>
      <c r="AO150" s="25"/>
      <c r="AP150" s="25"/>
    </row>
    <row r="151" spans="12:42" x14ac:dyDescent="0.35">
      <c r="L151" s="24">
        <v>47</v>
      </c>
      <c r="M151" s="94"/>
      <c r="N151" s="94"/>
      <c r="O151" s="94"/>
      <c r="P151" s="94"/>
      <c r="Q151" s="94"/>
      <c r="R151" s="94"/>
      <c r="S151" s="94"/>
      <c r="T151" s="94"/>
      <c r="U151" s="94"/>
      <c r="V151" s="94"/>
      <c r="W151" s="94"/>
      <c r="X151" s="94"/>
      <c r="Y151" s="94"/>
      <c r="Z151" s="94"/>
      <c r="AA151" s="94"/>
      <c r="AB151" s="103"/>
      <c r="AC151" s="103"/>
      <c r="AD151" s="103"/>
      <c r="AE151" s="103"/>
      <c r="AF151" s="103"/>
      <c r="AG151" s="25"/>
      <c r="AH151" s="25"/>
      <c r="AI151" s="25"/>
      <c r="AJ151" s="25"/>
      <c r="AK151" s="25"/>
      <c r="AL151" s="25"/>
      <c r="AM151" s="25"/>
      <c r="AN151" s="25"/>
      <c r="AO151" s="25"/>
      <c r="AP151" s="25"/>
    </row>
    <row r="152" spans="12:42" x14ac:dyDescent="0.35">
      <c r="L152" s="24">
        <v>48</v>
      </c>
      <c r="M152" s="94"/>
      <c r="N152" s="94"/>
      <c r="O152" s="94"/>
      <c r="P152" s="94"/>
      <c r="Q152" s="94"/>
      <c r="R152" s="94"/>
      <c r="S152" s="94"/>
      <c r="T152" s="94"/>
      <c r="U152" s="94"/>
      <c r="V152" s="94"/>
      <c r="W152" s="94"/>
      <c r="X152" s="94"/>
      <c r="Y152" s="94"/>
      <c r="Z152" s="94"/>
      <c r="AA152" s="94"/>
      <c r="AB152" s="103"/>
      <c r="AC152" s="103"/>
      <c r="AD152" s="103"/>
      <c r="AE152" s="103"/>
      <c r="AF152" s="103"/>
      <c r="AG152" s="25"/>
      <c r="AH152" s="25"/>
      <c r="AI152" s="25"/>
      <c r="AJ152" s="25"/>
      <c r="AK152" s="25"/>
      <c r="AL152" s="25"/>
      <c r="AM152" s="25"/>
      <c r="AN152" s="25"/>
      <c r="AO152" s="25"/>
      <c r="AP152" s="25"/>
    </row>
    <row r="153" spans="12:42" x14ac:dyDescent="0.35">
      <c r="L153" s="24">
        <v>49</v>
      </c>
      <c r="M153" s="94"/>
      <c r="N153" s="94"/>
      <c r="O153" s="94"/>
      <c r="P153" s="94"/>
      <c r="Q153" s="94"/>
      <c r="R153" s="94"/>
      <c r="S153" s="94"/>
      <c r="T153" s="94"/>
      <c r="U153" s="94"/>
      <c r="V153" s="94"/>
      <c r="W153" s="94"/>
      <c r="X153" s="94"/>
      <c r="Y153" s="94"/>
      <c r="Z153" s="94"/>
      <c r="AA153" s="94"/>
      <c r="AB153" s="103"/>
      <c r="AC153" s="103"/>
      <c r="AD153" s="103"/>
      <c r="AE153" s="103"/>
      <c r="AF153" s="103"/>
      <c r="AG153" s="25"/>
      <c r="AH153" s="25"/>
      <c r="AI153" s="25"/>
      <c r="AJ153" s="25"/>
      <c r="AK153" s="25"/>
      <c r="AL153" s="25"/>
      <c r="AM153" s="25"/>
      <c r="AN153" s="25"/>
      <c r="AO153" s="25"/>
      <c r="AP153" s="25"/>
    </row>
    <row r="154" spans="12:42" x14ac:dyDescent="0.35">
      <c r="L154" s="24">
        <v>50</v>
      </c>
      <c r="M154" s="94"/>
      <c r="N154" s="94"/>
      <c r="O154" s="94"/>
      <c r="P154" s="94"/>
      <c r="Q154" s="94"/>
      <c r="R154" s="94"/>
      <c r="S154" s="94"/>
      <c r="T154" s="94"/>
      <c r="U154" s="94"/>
      <c r="V154" s="94"/>
      <c r="W154" s="94"/>
      <c r="X154" s="94"/>
      <c r="Y154" s="94"/>
      <c r="Z154" s="94"/>
      <c r="AA154" s="94"/>
      <c r="AB154" s="103"/>
      <c r="AC154" s="103"/>
      <c r="AD154" s="103"/>
      <c r="AE154" s="103"/>
      <c r="AF154" s="103"/>
      <c r="AG154" s="25"/>
      <c r="AH154" s="25"/>
      <c r="AI154" s="25"/>
      <c r="AJ154" s="25"/>
      <c r="AK154" s="25"/>
      <c r="AL154" s="25"/>
      <c r="AM154" s="25"/>
      <c r="AN154" s="25"/>
      <c r="AO154" s="25"/>
      <c r="AP154" s="25"/>
    </row>
    <row r="155" spans="12:42" x14ac:dyDescent="0.35">
      <c r="L155" s="24">
        <v>51</v>
      </c>
      <c r="M155" s="94"/>
      <c r="N155" s="94"/>
      <c r="O155" s="94"/>
      <c r="P155" s="94"/>
      <c r="Q155" s="94"/>
      <c r="R155" s="94"/>
      <c r="S155" s="94"/>
      <c r="T155" s="94"/>
      <c r="U155" s="94"/>
      <c r="V155" s="94"/>
      <c r="W155" s="94"/>
      <c r="X155" s="94"/>
      <c r="Y155" s="94"/>
      <c r="Z155" s="94"/>
      <c r="AA155" s="94"/>
      <c r="AB155" s="103"/>
      <c r="AC155" s="103"/>
      <c r="AD155" s="103"/>
      <c r="AE155" s="103"/>
      <c r="AF155" s="103"/>
      <c r="AG155" s="25"/>
      <c r="AH155" s="25"/>
      <c r="AI155" s="25"/>
      <c r="AJ155" s="25"/>
      <c r="AK155" s="25"/>
      <c r="AL155" s="25"/>
      <c r="AM155" s="25"/>
      <c r="AN155" s="25"/>
      <c r="AO155" s="25"/>
      <c r="AP155" s="25"/>
    </row>
    <row r="156" spans="12:42" x14ac:dyDescent="0.35">
      <c r="L156" s="24">
        <v>52</v>
      </c>
      <c r="M156" s="94"/>
      <c r="N156" s="94"/>
      <c r="O156" s="94"/>
      <c r="P156" s="94"/>
      <c r="Q156" s="94"/>
      <c r="R156" s="94"/>
      <c r="S156" s="94"/>
      <c r="T156" s="94"/>
      <c r="U156" s="94"/>
      <c r="V156" s="94"/>
      <c r="W156" s="94"/>
      <c r="X156" s="94"/>
      <c r="Y156" s="94"/>
      <c r="Z156" s="94"/>
      <c r="AA156" s="94"/>
      <c r="AB156" s="103"/>
      <c r="AC156" s="103"/>
      <c r="AD156" s="103"/>
      <c r="AE156" s="103"/>
      <c r="AF156" s="103"/>
      <c r="AG156" s="25"/>
      <c r="AH156" s="25"/>
      <c r="AI156" s="25"/>
      <c r="AJ156" s="25"/>
      <c r="AK156" s="25"/>
      <c r="AL156" s="25"/>
      <c r="AM156" s="25"/>
      <c r="AN156" s="25"/>
      <c r="AO156" s="25"/>
      <c r="AP156" s="25"/>
    </row>
    <row r="157" spans="12:42" x14ac:dyDescent="0.35">
      <c r="L157" s="24">
        <v>53</v>
      </c>
      <c r="M157" s="94"/>
      <c r="N157" s="94"/>
      <c r="O157" s="94"/>
      <c r="P157" s="94"/>
      <c r="Q157" s="94"/>
      <c r="R157" s="94"/>
      <c r="S157" s="94"/>
      <c r="T157" s="94"/>
      <c r="U157" s="94"/>
      <c r="V157" s="94"/>
      <c r="W157" s="94"/>
      <c r="X157" s="94"/>
      <c r="Y157" s="94"/>
      <c r="Z157" s="94"/>
      <c r="AA157" s="94"/>
      <c r="AB157" s="103"/>
      <c r="AC157" s="103"/>
      <c r="AD157" s="103"/>
      <c r="AE157" s="103"/>
      <c r="AF157" s="103"/>
      <c r="AG157" s="25"/>
      <c r="AH157" s="25"/>
      <c r="AI157" s="25"/>
      <c r="AJ157" s="25"/>
      <c r="AK157" s="25"/>
      <c r="AL157" s="25"/>
      <c r="AM157" s="25"/>
      <c r="AN157" s="25"/>
      <c r="AO157" s="25"/>
      <c r="AP157" s="25"/>
    </row>
    <row r="158" spans="12:42" x14ac:dyDescent="0.35">
      <c r="L158" s="24">
        <v>54</v>
      </c>
      <c r="M158" s="94"/>
      <c r="N158" s="94"/>
      <c r="O158" s="94"/>
      <c r="P158" s="94"/>
      <c r="Q158" s="94"/>
      <c r="R158" s="94"/>
      <c r="S158" s="94"/>
      <c r="T158" s="94"/>
      <c r="U158" s="94"/>
      <c r="V158" s="94"/>
      <c r="W158" s="94"/>
      <c r="X158" s="94"/>
      <c r="Y158" s="94"/>
      <c r="Z158" s="94"/>
      <c r="AA158" s="94"/>
      <c r="AB158" s="103"/>
      <c r="AC158" s="103"/>
      <c r="AD158" s="103"/>
      <c r="AE158" s="103"/>
      <c r="AF158" s="103"/>
      <c r="AG158" s="25"/>
      <c r="AH158" s="25"/>
      <c r="AI158" s="25"/>
      <c r="AJ158" s="25"/>
      <c r="AK158" s="25"/>
      <c r="AL158" s="25"/>
      <c r="AM158" s="25"/>
      <c r="AN158" s="25"/>
      <c r="AO158" s="25"/>
      <c r="AP158" s="25"/>
    </row>
    <row r="159" spans="12:42" x14ac:dyDescent="0.35">
      <c r="L159" s="24">
        <v>55</v>
      </c>
      <c r="M159" s="94"/>
      <c r="N159" s="94"/>
      <c r="O159" s="94"/>
      <c r="P159" s="94"/>
      <c r="Q159" s="94"/>
      <c r="R159" s="94"/>
      <c r="S159" s="94"/>
      <c r="T159" s="94"/>
      <c r="U159" s="94"/>
      <c r="V159" s="94"/>
      <c r="W159" s="94"/>
      <c r="X159" s="94"/>
      <c r="Y159" s="94"/>
      <c r="Z159" s="94"/>
      <c r="AA159" s="94"/>
      <c r="AB159" s="103"/>
      <c r="AC159" s="103"/>
      <c r="AD159" s="103"/>
      <c r="AE159" s="103"/>
      <c r="AF159" s="103"/>
      <c r="AG159" s="25"/>
      <c r="AH159" s="25"/>
      <c r="AI159" s="25"/>
      <c r="AJ159" s="25"/>
      <c r="AK159" s="25"/>
      <c r="AL159" s="25"/>
      <c r="AM159" s="25"/>
      <c r="AN159" s="25"/>
      <c r="AO159" s="25"/>
      <c r="AP159" s="25"/>
    </row>
    <row r="160" spans="12:42" x14ac:dyDescent="0.35">
      <c r="L160" s="24">
        <v>56</v>
      </c>
      <c r="M160" s="94"/>
      <c r="N160" s="94"/>
      <c r="O160" s="94"/>
      <c r="P160" s="94"/>
      <c r="Q160" s="94"/>
      <c r="R160" s="94"/>
      <c r="S160" s="94"/>
      <c r="T160" s="94"/>
      <c r="U160" s="94"/>
      <c r="V160" s="94"/>
      <c r="W160" s="94"/>
      <c r="X160" s="94"/>
      <c r="Y160" s="94"/>
      <c r="Z160" s="94"/>
      <c r="AA160" s="94"/>
      <c r="AB160" s="103"/>
      <c r="AC160" s="103"/>
      <c r="AD160" s="103"/>
      <c r="AE160" s="103"/>
      <c r="AF160" s="103"/>
      <c r="AG160" s="25"/>
      <c r="AH160" s="25"/>
      <c r="AI160" s="25"/>
      <c r="AJ160" s="25"/>
      <c r="AK160" s="25"/>
      <c r="AL160" s="25"/>
      <c r="AM160" s="25"/>
      <c r="AN160" s="25"/>
      <c r="AO160" s="25"/>
      <c r="AP160" s="25"/>
    </row>
    <row r="161" spans="12:42" x14ac:dyDescent="0.35">
      <c r="L161" s="24">
        <v>57</v>
      </c>
      <c r="M161" s="94"/>
      <c r="N161" s="94"/>
      <c r="O161" s="94"/>
      <c r="P161" s="94"/>
      <c r="Q161" s="94"/>
      <c r="R161" s="94"/>
      <c r="S161" s="94"/>
      <c r="T161" s="94"/>
      <c r="U161" s="94"/>
      <c r="V161" s="94"/>
      <c r="W161" s="94"/>
      <c r="X161" s="94"/>
      <c r="Y161" s="94"/>
      <c r="Z161" s="94"/>
      <c r="AA161" s="94"/>
      <c r="AB161" s="103"/>
      <c r="AC161" s="103"/>
      <c r="AD161" s="103"/>
      <c r="AE161" s="103"/>
      <c r="AF161" s="103"/>
      <c r="AG161" s="25"/>
      <c r="AH161" s="25"/>
      <c r="AI161" s="25"/>
      <c r="AJ161" s="25"/>
      <c r="AK161" s="25"/>
      <c r="AL161" s="25"/>
      <c r="AM161" s="25"/>
      <c r="AN161" s="25"/>
      <c r="AO161" s="25"/>
      <c r="AP161" s="25"/>
    </row>
    <row r="162" spans="12:42" x14ac:dyDescent="0.35">
      <c r="L162" s="24">
        <v>58</v>
      </c>
      <c r="M162" s="94"/>
      <c r="N162" s="94"/>
      <c r="O162" s="94"/>
      <c r="P162" s="94"/>
      <c r="Q162" s="94"/>
      <c r="R162" s="94"/>
      <c r="S162" s="94"/>
      <c r="T162" s="94"/>
      <c r="U162" s="94"/>
      <c r="V162" s="94"/>
      <c r="W162" s="94"/>
      <c r="X162" s="94"/>
      <c r="Y162" s="94"/>
      <c r="Z162" s="94"/>
      <c r="AA162" s="94"/>
      <c r="AB162" s="103"/>
      <c r="AC162" s="103"/>
      <c r="AD162" s="103"/>
      <c r="AE162" s="103"/>
      <c r="AF162" s="103"/>
      <c r="AG162" s="25"/>
      <c r="AH162" s="25"/>
      <c r="AI162" s="25"/>
      <c r="AJ162" s="25"/>
      <c r="AK162" s="25"/>
      <c r="AL162" s="25"/>
      <c r="AM162" s="25"/>
      <c r="AN162" s="25"/>
      <c r="AO162" s="25"/>
      <c r="AP162" s="25"/>
    </row>
    <row r="163" spans="12:42" x14ac:dyDescent="0.35">
      <c r="L163" s="24">
        <v>59</v>
      </c>
      <c r="M163" s="94"/>
      <c r="N163" s="94"/>
      <c r="O163" s="94"/>
      <c r="P163" s="94"/>
      <c r="Q163" s="94"/>
      <c r="R163" s="94"/>
      <c r="S163" s="94"/>
      <c r="T163" s="94"/>
      <c r="U163" s="94"/>
      <c r="V163" s="94"/>
      <c r="W163" s="94"/>
      <c r="X163" s="94"/>
      <c r="Y163" s="94"/>
      <c r="Z163" s="94"/>
      <c r="AA163" s="94"/>
      <c r="AB163" s="103"/>
      <c r="AC163" s="103"/>
      <c r="AD163" s="103"/>
      <c r="AE163" s="103"/>
      <c r="AF163" s="103"/>
      <c r="AG163" s="25"/>
      <c r="AH163" s="25"/>
      <c r="AI163" s="25"/>
      <c r="AJ163" s="25"/>
      <c r="AK163" s="25"/>
      <c r="AL163" s="25"/>
      <c r="AM163" s="25"/>
      <c r="AN163" s="25"/>
      <c r="AO163" s="25"/>
      <c r="AP163" s="25"/>
    </row>
    <row r="164" spans="12:42" x14ac:dyDescent="0.35">
      <c r="L164" s="24">
        <v>60</v>
      </c>
      <c r="M164" s="94"/>
      <c r="N164" s="94"/>
      <c r="O164" s="94"/>
      <c r="P164" s="94"/>
      <c r="Q164" s="94"/>
      <c r="R164" s="94"/>
      <c r="S164" s="94"/>
      <c r="T164" s="94"/>
      <c r="U164" s="94"/>
      <c r="V164" s="94"/>
      <c r="W164" s="94"/>
      <c r="X164" s="94"/>
      <c r="Y164" s="94"/>
      <c r="Z164" s="94"/>
      <c r="AA164" s="94"/>
      <c r="AB164" s="103"/>
      <c r="AC164" s="103"/>
      <c r="AD164" s="103"/>
      <c r="AE164" s="103"/>
      <c r="AF164" s="103"/>
      <c r="AG164" s="25"/>
      <c r="AH164" s="25"/>
      <c r="AI164" s="25"/>
      <c r="AJ164" s="25"/>
      <c r="AK164" s="25"/>
      <c r="AL164" s="25"/>
      <c r="AM164" s="25"/>
      <c r="AN164" s="25"/>
      <c r="AO164" s="25"/>
      <c r="AP164" s="25"/>
    </row>
    <row r="165" spans="12:42" x14ac:dyDescent="0.35">
      <c r="L165" s="24">
        <f t="shared" ref="L165:L174" si="3">IF(AND(ROW(K49)+12&gt;=$G$11,ROW(K49)+12&lt;=$I$11),ROW(K49)+12,"")</f>
        <v>61</v>
      </c>
      <c r="M165" s="26"/>
      <c r="N165" s="104"/>
      <c r="O165" s="104"/>
      <c r="P165" s="104"/>
      <c r="Q165" s="104"/>
      <c r="R165" s="104"/>
      <c r="S165" s="104"/>
      <c r="T165" s="104"/>
      <c r="U165" s="104"/>
      <c r="V165" s="104"/>
      <c r="W165" s="26"/>
      <c r="X165" s="26"/>
      <c r="Y165" s="26"/>
      <c r="Z165" s="26"/>
      <c r="AA165" s="26"/>
      <c r="AB165" s="105"/>
      <c r="AC165" s="105"/>
      <c r="AD165" s="105"/>
      <c r="AE165" s="105"/>
      <c r="AF165" s="105"/>
      <c r="AG165" s="25"/>
      <c r="AH165" s="25"/>
      <c r="AI165" s="25"/>
      <c r="AJ165" s="25"/>
      <c r="AK165" s="25"/>
      <c r="AL165" s="25"/>
      <c r="AM165" s="25"/>
      <c r="AN165" s="25"/>
      <c r="AO165" s="25"/>
      <c r="AP165" s="25"/>
    </row>
    <row r="166" spans="12:42" x14ac:dyDescent="0.35">
      <c r="L166" s="24">
        <f t="shared" si="3"/>
        <v>62</v>
      </c>
      <c r="M166" s="26"/>
      <c r="N166" s="104"/>
      <c r="O166" s="104"/>
      <c r="P166" s="104"/>
      <c r="Q166" s="104"/>
      <c r="R166" s="104"/>
      <c r="S166" s="104"/>
      <c r="T166" s="104"/>
      <c r="U166" s="104"/>
      <c r="V166" s="104"/>
      <c r="W166" s="26"/>
      <c r="X166" s="26"/>
      <c r="Y166" s="26"/>
      <c r="Z166" s="26"/>
      <c r="AA166" s="26"/>
      <c r="AB166" s="105"/>
      <c r="AC166" s="105"/>
      <c r="AD166" s="105"/>
      <c r="AE166" s="105"/>
      <c r="AF166" s="105"/>
      <c r="AG166" s="25"/>
      <c r="AH166" s="25"/>
      <c r="AI166" s="25"/>
      <c r="AJ166" s="25"/>
      <c r="AK166" s="25"/>
      <c r="AL166" s="25"/>
      <c r="AM166" s="25"/>
      <c r="AN166" s="25"/>
      <c r="AO166" s="25"/>
      <c r="AP166" s="25"/>
    </row>
    <row r="167" spans="12:42" x14ac:dyDescent="0.35">
      <c r="L167" s="24">
        <f t="shared" si="3"/>
        <v>63</v>
      </c>
      <c r="M167" s="26"/>
      <c r="N167" s="104"/>
      <c r="O167" s="104"/>
      <c r="P167" s="104"/>
      <c r="Q167" s="104"/>
      <c r="R167" s="104"/>
      <c r="S167" s="104"/>
      <c r="T167" s="104"/>
      <c r="U167" s="104"/>
      <c r="V167" s="104"/>
      <c r="W167" s="26"/>
      <c r="X167" s="26"/>
      <c r="Y167" s="26"/>
      <c r="Z167" s="26"/>
      <c r="AA167" s="26"/>
      <c r="AB167" s="105"/>
      <c r="AC167" s="105"/>
      <c r="AD167" s="105"/>
      <c r="AE167" s="105"/>
      <c r="AF167" s="105"/>
      <c r="AG167" s="25"/>
      <c r="AH167" s="25"/>
      <c r="AI167" s="25"/>
      <c r="AJ167" s="25"/>
      <c r="AK167" s="25"/>
      <c r="AL167" s="25"/>
      <c r="AM167" s="25"/>
      <c r="AN167" s="25"/>
      <c r="AO167" s="25"/>
      <c r="AP167" s="25"/>
    </row>
    <row r="168" spans="12:42" x14ac:dyDescent="0.35">
      <c r="L168" s="24">
        <f t="shared" si="3"/>
        <v>64</v>
      </c>
      <c r="M168" s="26"/>
      <c r="N168" s="104"/>
      <c r="O168" s="104"/>
      <c r="P168" s="104"/>
      <c r="Q168" s="104"/>
      <c r="R168" s="104"/>
      <c r="S168" s="104"/>
      <c r="T168" s="104"/>
      <c r="U168" s="104"/>
      <c r="V168" s="104"/>
      <c r="W168" s="26"/>
      <c r="X168" s="26"/>
      <c r="Y168" s="26"/>
      <c r="Z168" s="26"/>
      <c r="AA168" s="26"/>
      <c r="AB168" s="105"/>
      <c r="AC168" s="105"/>
      <c r="AD168" s="105"/>
      <c r="AE168" s="105"/>
      <c r="AF168" s="105"/>
      <c r="AG168" s="25"/>
      <c r="AH168" s="25"/>
      <c r="AI168" s="25"/>
      <c r="AJ168" s="25"/>
      <c r="AK168" s="25"/>
      <c r="AL168" s="25"/>
      <c r="AM168" s="25"/>
      <c r="AN168" s="25"/>
      <c r="AO168" s="25"/>
      <c r="AP168" s="25"/>
    </row>
    <row r="169" spans="12:42" x14ac:dyDescent="0.35">
      <c r="L169" s="24">
        <f t="shared" si="3"/>
        <v>65</v>
      </c>
      <c r="M169" s="26"/>
      <c r="N169" s="104"/>
      <c r="O169" s="104"/>
      <c r="P169" s="104"/>
      <c r="Q169" s="104"/>
      <c r="R169" s="105"/>
      <c r="S169" s="105"/>
      <c r="T169" s="105"/>
      <c r="U169" s="105"/>
      <c r="V169" s="105"/>
      <c r="W169" s="105"/>
      <c r="X169" s="105"/>
      <c r="Y169" s="105"/>
      <c r="Z169" s="105"/>
      <c r="AA169" s="105"/>
      <c r="AB169" s="105"/>
      <c r="AC169" s="105"/>
      <c r="AD169" s="105"/>
      <c r="AE169" s="105"/>
      <c r="AF169" s="105"/>
      <c r="AG169" s="25"/>
      <c r="AH169" s="25"/>
      <c r="AI169" s="25"/>
      <c r="AJ169" s="25"/>
      <c r="AK169" s="25"/>
      <c r="AL169" s="25"/>
      <c r="AM169" s="25"/>
      <c r="AN169" s="25"/>
      <c r="AO169" s="25"/>
      <c r="AP169" s="25"/>
    </row>
    <row r="170" spans="12:42" x14ac:dyDescent="0.35">
      <c r="L170" s="24" t="str">
        <f t="shared" si="3"/>
        <v/>
      </c>
      <c r="M170" s="105"/>
      <c r="N170" s="105"/>
      <c r="O170" s="105"/>
      <c r="P170" s="105"/>
      <c r="Q170" s="105"/>
      <c r="R170" s="105"/>
      <c r="S170" s="105"/>
      <c r="T170" s="105"/>
      <c r="U170" s="105"/>
      <c r="V170" s="105"/>
      <c r="W170" s="105"/>
      <c r="X170" s="105"/>
      <c r="Y170" s="105"/>
      <c r="Z170" s="105"/>
      <c r="AA170" s="105"/>
      <c r="AB170" s="105"/>
      <c r="AC170" s="105"/>
      <c r="AD170" s="105"/>
      <c r="AE170" s="105"/>
      <c r="AF170" s="105"/>
      <c r="AG170" s="25"/>
      <c r="AH170" s="25"/>
      <c r="AI170" s="25"/>
      <c r="AJ170" s="25"/>
      <c r="AK170" s="25"/>
      <c r="AL170" s="25"/>
      <c r="AM170" s="25"/>
      <c r="AN170" s="25"/>
      <c r="AO170" s="25"/>
      <c r="AP170" s="25"/>
    </row>
    <row r="171" spans="12:42" x14ac:dyDescent="0.35">
      <c r="L171" s="24" t="str">
        <f t="shared" si="3"/>
        <v/>
      </c>
      <c r="M171" s="105"/>
      <c r="N171" s="105"/>
      <c r="O171" s="105"/>
      <c r="P171" s="105"/>
      <c r="Q171" s="105"/>
      <c r="R171" s="105"/>
      <c r="S171" s="105"/>
      <c r="T171" s="105"/>
      <c r="U171" s="105"/>
      <c r="V171" s="105"/>
      <c r="W171" s="105"/>
      <c r="X171" s="105"/>
      <c r="Y171" s="105"/>
      <c r="Z171" s="105"/>
      <c r="AA171" s="105"/>
      <c r="AB171" s="105"/>
      <c r="AC171" s="105"/>
      <c r="AD171" s="105"/>
      <c r="AE171" s="105"/>
      <c r="AF171" s="105"/>
      <c r="AG171" s="25"/>
      <c r="AH171" s="25"/>
      <c r="AI171" s="25"/>
      <c r="AJ171" s="25"/>
      <c r="AK171" s="25"/>
      <c r="AL171" s="25"/>
      <c r="AM171" s="25"/>
      <c r="AN171" s="25"/>
      <c r="AO171" s="25"/>
      <c r="AP171" s="25"/>
    </row>
    <row r="172" spans="12:42" x14ac:dyDescent="0.35">
      <c r="L172" s="24" t="str">
        <f t="shared" si="3"/>
        <v/>
      </c>
      <c r="M172" s="25"/>
      <c r="N172" s="25"/>
      <c r="O172" s="25"/>
      <c r="P172" s="25"/>
      <c r="Q172" s="25"/>
      <c r="R172" s="25"/>
      <c r="S172" s="25"/>
      <c r="T172" s="25"/>
      <c r="U172" s="25"/>
      <c r="V172" s="25"/>
      <c r="W172" s="25"/>
      <c r="X172" s="25"/>
      <c r="Y172" s="25"/>
      <c r="Z172" s="25"/>
      <c r="AA172" s="25"/>
      <c r="AB172" s="25"/>
      <c r="AC172" s="25"/>
      <c r="AD172" s="25"/>
      <c r="AE172" s="25"/>
      <c r="AF172" s="25"/>
      <c r="AG172" s="25"/>
      <c r="AH172" s="25"/>
      <c r="AI172" s="25"/>
      <c r="AJ172" s="25"/>
      <c r="AK172" s="25"/>
      <c r="AL172" s="25"/>
      <c r="AM172" s="25"/>
      <c r="AN172" s="25"/>
      <c r="AO172" s="25"/>
      <c r="AP172" s="25"/>
    </row>
    <row r="173" spans="12:42" x14ac:dyDescent="0.35">
      <c r="L173" s="24" t="str">
        <f t="shared" si="3"/>
        <v/>
      </c>
      <c r="M173" s="25"/>
      <c r="N173" s="25"/>
      <c r="O173" s="25"/>
      <c r="P173" s="25"/>
      <c r="Q173" s="25"/>
      <c r="R173" s="25"/>
      <c r="S173" s="25"/>
      <c r="T173" s="25"/>
      <c r="U173" s="25"/>
      <c r="V173" s="25"/>
      <c r="W173" s="25"/>
      <c r="X173" s="25"/>
      <c r="Y173" s="25"/>
      <c r="Z173" s="25"/>
      <c r="AA173" s="25"/>
      <c r="AB173" s="25"/>
      <c r="AC173" s="25"/>
      <c r="AD173" s="25"/>
      <c r="AE173" s="25"/>
      <c r="AF173" s="25"/>
      <c r="AG173" s="25"/>
      <c r="AH173" s="25"/>
      <c r="AI173" s="25"/>
      <c r="AJ173" s="25"/>
      <c r="AK173" s="25"/>
      <c r="AL173" s="25"/>
      <c r="AM173" s="25"/>
      <c r="AN173" s="25"/>
      <c r="AO173" s="25"/>
      <c r="AP173" s="25"/>
    </row>
    <row r="174" spans="12:42" x14ac:dyDescent="0.35">
      <c r="L174" s="24" t="str">
        <f t="shared" si="3"/>
        <v/>
      </c>
      <c r="M174" s="25"/>
      <c r="N174" s="25"/>
      <c r="O174" s="25"/>
      <c r="P174" s="25"/>
      <c r="Q174" s="25"/>
      <c r="R174" s="25"/>
      <c r="S174" s="25"/>
      <c r="T174" s="25"/>
      <c r="U174" s="25"/>
      <c r="V174" s="25"/>
      <c r="W174" s="25"/>
      <c r="X174" s="25"/>
      <c r="Y174" s="25"/>
      <c r="Z174" s="25"/>
      <c r="AA174" s="25"/>
      <c r="AB174" s="25"/>
      <c r="AC174" s="25"/>
      <c r="AD174" s="25"/>
      <c r="AE174" s="25"/>
      <c r="AF174" s="25"/>
      <c r="AG174" s="25"/>
      <c r="AH174" s="25"/>
      <c r="AI174" s="25"/>
      <c r="AJ174" s="25"/>
      <c r="AK174" s="25"/>
      <c r="AL174" s="25"/>
      <c r="AM174" s="25"/>
      <c r="AN174" s="25"/>
      <c r="AO174" s="25"/>
      <c r="AP174" s="25"/>
    </row>
  </sheetData>
  <mergeCells count="21">
    <mergeCell ref="F9:I9"/>
    <mergeCell ref="L3:L4"/>
    <mergeCell ref="M3:AP3"/>
    <mergeCell ref="F8:I8"/>
    <mergeCell ref="F6:I6"/>
    <mergeCell ref="F7:I7"/>
    <mergeCell ref="L61:L62"/>
    <mergeCell ref="M61:AP61"/>
    <mergeCell ref="L119:L120"/>
    <mergeCell ref="M119:AP119"/>
    <mergeCell ref="F12:G12"/>
    <mergeCell ref="F18:I18"/>
    <mergeCell ref="F19:I19"/>
    <mergeCell ref="F20:I20"/>
    <mergeCell ref="F21:I21"/>
    <mergeCell ref="F24:G24"/>
    <mergeCell ref="F30:I30"/>
    <mergeCell ref="F31:I31"/>
    <mergeCell ref="F32:I32"/>
    <mergeCell ref="F33:I33"/>
    <mergeCell ref="F36:G36"/>
  </mergeCells>
  <conditionalFormatting sqref="L39:L58">
    <cfRule type="cellIs" dxfId="8" priority="9" stopIfTrue="1" operator="lessThan">
      <formula>0</formula>
    </cfRule>
  </conditionalFormatting>
  <conditionalFormatting sqref="AC8:AP52">
    <cfRule type="cellIs" dxfId="7" priority="8" operator="equal">
      <formula>0</formula>
    </cfRule>
  </conditionalFormatting>
  <conditionalFormatting sqref="AB8:AB52">
    <cfRule type="cellIs" dxfId="6" priority="7" operator="equal">
      <formula>0</formula>
    </cfRule>
  </conditionalFormatting>
  <conditionalFormatting sqref="L64:L116">
    <cfRule type="cellIs" dxfId="5" priority="6" stopIfTrue="1" operator="lessThan">
      <formula>0</formula>
    </cfRule>
  </conditionalFormatting>
  <conditionalFormatting sqref="AC66:AP110">
    <cfRule type="cellIs" dxfId="4" priority="5" operator="equal">
      <formula>0</formula>
    </cfRule>
  </conditionalFormatting>
  <conditionalFormatting sqref="AB66:AB110">
    <cfRule type="cellIs" dxfId="3" priority="4" operator="equal">
      <formula>0</formula>
    </cfRule>
  </conditionalFormatting>
  <conditionalFormatting sqref="L122:L174">
    <cfRule type="cellIs" dxfId="2" priority="3" stopIfTrue="1" operator="lessThan">
      <formula>0</formula>
    </cfRule>
  </conditionalFormatting>
  <conditionalFormatting sqref="AC124:AP168">
    <cfRule type="cellIs" dxfId="1" priority="2" operator="equal">
      <formula>0</formula>
    </cfRule>
  </conditionalFormatting>
  <conditionalFormatting sqref="AB124:AB168">
    <cfRule type="cellIs" dxfId="0" priority="1" operator="equal">
      <formula>0</formula>
    </cfRule>
  </conditionalFormatting>
  <dataValidations count="8">
    <dataValidation type="whole" operator="lessThanOrEqual" allowBlank="1" showInputMessage="1" showErrorMessage="1" sqref="F20:I20 F30:I33" xr:uid="{25A68145-D8C1-490C-B7D6-B36660A876AC}">
      <formula1>5000000000</formula1>
    </dataValidation>
    <dataValidation type="whole" allowBlank="1" showInputMessage="1" showErrorMessage="1" sqref="H12 G10:G11 I22 I10:I11 I34:I35 G34:G35 H36" xr:uid="{D826D884-20EE-4BCA-B8DC-1D5CAE107708}">
      <formula1>1</formula1>
      <formula2>30</formula2>
    </dataValidation>
    <dataValidation type="whole" allowBlank="1" showInputMessage="1" showErrorMessage="1" sqref="G23" xr:uid="{3D70F8B4-0F37-4AFC-AAD3-26AA6487885D}">
      <formula1>18</formula1>
      <formula2>60</formula2>
    </dataValidation>
    <dataValidation type="whole" allowBlank="1" showInputMessage="1" showErrorMessage="1" sqref="H24" xr:uid="{6687E293-FC61-421E-81CB-AC7D1F200C55}">
      <formula1>19</formula1>
      <formula2>70</formula2>
    </dataValidation>
    <dataValidation type="list" allowBlank="1" showInputMessage="1" showErrorMessage="1" sqref="F6:I9 F18:I18" xr:uid="{B3BCB6F2-828F-4ED3-86EF-5D9E33D4289A}">
      <formula1>"Direct Sales, Digital, Bancassurance, Syariah, POAJK, SMLI (Timor Leste)"</formula1>
    </dataValidation>
    <dataValidation type="list" allowBlank="1" showInputMessage="1" showErrorMessage="1" sqref="F21:I21" xr:uid="{0962D189-E63B-4C4B-9E21-104FA22425A7}">
      <formula1>"Konvensional, Syariah"</formula1>
    </dataValidation>
    <dataValidation type="whole" allowBlank="1" showInputMessage="1" showErrorMessage="1" sqref="G22" xr:uid="{E7B2AB09-8EC7-4C22-8AE3-74EF5A1D2895}">
      <formula1>0</formula1>
      <formula2>30</formula2>
    </dataValidation>
    <dataValidation type="whole" allowBlank="1" showInputMessage="1" showErrorMessage="1" sqref="I23" xr:uid="{C0C04B46-DBC9-44E8-8205-CC9A5E4205D6}">
      <formula1>18</formula1>
      <formula2>65</formula2>
    </dataValidation>
  </dataValidations>
  <hyperlinks>
    <hyperlink ref="AS18" r:id="rId1" xr:uid="{B4597677-3ED2-4DDD-9F1C-F2B54A0AF975}"/>
    <hyperlink ref="AS19" r:id="rId2" xr:uid="{3E635797-DEF9-4AFD-B773-3ABF267DFDA6}"/>
    <hyperlink ref="AS20" r:id="rId3" xr:uid="{2AB707BE-7D5B-47D8-A2BF-9BCFD48A34BE}"/>
    <hyperlink ref="AS21" r:id="rId4" xr:uid="{42D1EA39-54D7-4689-B304-1BD571910C73}"/>
    <hyperlink ref="AS22" r:id="rId5" xr:uid="{BB4BEEC2-643E-4A9B-B29B-1FA3A0AD750F}"/>
    <hyperlink ref="AS23" r:id="rId6" xr:uid="{67AC7070-0562-4528-8C46-CDF58C997DB5}"/>
  </hyperlinks>
  <pageMargins left="0.7" right="0.7" top="0.75" bottom="0.75" header="0.3" footer="0.3"/>
  <pageSetup paperSize="9"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3075" r:id="rId10" name="Check Box 3">
              <controlPr defaultSize="0" autoFill="0" autoLine="0" autoPict="0">
                <anchor moveWithCells="1">
                  <from>
                    <xdr:col>5</xdr:col>
                    <xdr:colOff>95250</xdr:colOff>
                    <xdr:row>2</xdr:row>
                    <xdr:rowOff>152400</xdr:rowOff>
                  </from>
                  <to>
                    <xdr:col>6</xdr:col>
                    <xdr:colOff>209550</xdr:colOff>
                    <xdr:row>4</xdr:row>
                    <xdr:rowOff>0</xdr:rowOff>
                  </to>
                </anchor>
              </controlPr>
            </control>
          </mc:Choice>
        </mc:AlternateContent>
        <mc:AlternateContent xmlns:mc="http://schemas.openxmlformats.org/markup-compatibility/2006">
          <mc:Choice Requires="x14">
            <control shapeId="3076" r:id="rId11" name="Check Box 4">
              <controlPr defaultSize="0" autoFill="0" autoLine="0" autoPict="0">
                <anchor moveWithCells="1">
                  <from>
                    <xdr:col>6</xdr:col>
                    <xdr:colOff>476250</xdr:colOff>
                    <xdr:row>2</xdr:row>
                    <xdr:rowOff>152400</xdr:rowOff>
                  </from>
                  <to>
                    <xdr:col>7</xdr:col>
                    <xdr:colOff>590550</xdr:colOff>
                    <xdr:row>4</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AP52"/>
  <sheetViews>
    <sheetView showGridLines="0" zoomScale="90" zoomScaleNormal="90" workbookViewId="0">
      <pane ySplit="2" topLeftCell="A3" activePane="bottomLeft" state="frozen"/>
      <selection pane="bottomLeft"/>
    </sheetView>
  </sheetViews>
  <sheetFormatPr defaultColWidth="9" defaultRowHeight="14.5" x14ac:dyDescent="0.35"/>
  <cols>
    <col min="1" max="1" width="10.453125" style="1" bestFit="1" customWidth="1"/>
    <col min="2" max="7" width="20.7265625" style="2" bestFit="1" customWidth="1"/>
    <col min="8" max="11" width="20.7265625" style="2" customWidth="1"/>
    <col min="12" max="13" width="20.7265625" style="2" bestFit="1" customWidth="1"/>
    <col min="14" max="15" width="20.7265625" style="1" bestFit="1" customWidth="1"/>
    <col min="16" max="16" width="20.7265625" style="1" customWidth="1"/>
    <col min="17" max="16384" width="9" style="1"/>
  </cols>
  <sheetData>
    <row r="1" spans="1:42" x14ac:dyDescent="0.35">
      <c r="A1" s="1" t="s">
        <v>98</v>
      </c>
      <c r="B1" s="145" t="s">
        <v>33</v>
      </c>
      <c r="C1" s="145"/>
      <c r="D1" s="145"/>
      <c r="E1" s="145"/>
      <c r="F1" s="145"/>
      <c r="G1" s="145"/>
      <c r="H1" s="145"/>
      <c r="I1" s="145"/>
      <c r="J1" s="145"/>
      <c r="K1" s="145"/>
      <c r="L1" s="145"/>
      <c r="M1" s="145"/>
      <c r="N1" s="145"/>
      <c r="O1" s="145"/>
      <c r="P1" s="2"/>
    </row>
    <row r="2" spans="1:42" x14ac:dyDescent="0.35">
      <c r="B2" s="95">
        <f>IF('Spek Produk'!$F$9="Syariah",Medic!B21,Medic!B12)</f>
        <v>0</v>
      </c>
      <c r="C2" s="95">
        <f>IF('Spek Produk'!$F$9="Syariah",Medic!C21,Medic!C12)</f>
        <v>250000001</v>
      </c>
      <c r="D2" s="95">
        <f>IF('Spek Produk'!$F$9="Syariah",Medic!D21,Medic!D12)</f>
        <v>500000001</v>
      </c>
      <c r="E2" s="95">
        <f>IF('Spek Produk'!$F$9="Syariah",Medic!E21,Medic!E12)</f>
        <v>1000000001</v>
      </c>
      <c r="F2" s="95">
        <f>IF('Spek Produk'!$F$9="Syariah",Medic!F21,Medic!F12)</f>
        <v>1500000001</v>
      </c>
      <c r="G2" s="95">
        <f>IF('Spek Produk'!$F$9="Syariah",Medic!G21,Medic!G12)</f>
        <v>3000000001</v>
      </c>
      <c r="H2" s="95">
        <f>IF('Spek Produk'!$F$9="Syariah",Medic!H21,Medic!H12)</f>
        <v>4000000001</v>
      </c>
      <c r="I2" s="95">
        <f>IF('Spek Produk'!$F$9="Syariah",Medic!I21,Medic!I12)</f>
        <v>5000000001</v>
      </c>
      <c r="J2" s="95">
        <f>IF('Spek Produk'!$F$9="Syariah",Medic!J21,Medic!J12)</f>
        <v>7500000001</v>
      </c>
      <c r="K2" s="95">
        <f>IF('Spek Produk'!$F$9="Syariah",Medic!K21,Medic!K12)</f>
        <v>7500000001</v>
      </c>
      <c r="L2" s="95">
        <f>IF('Spek Produk'!$F$9="Syariah",Medic!L21,Medic!L12)</f>
        <v>7500000001</v>
      </c>
      <c r="M2" s="3"/>
      <c r="N2" s="3"/>
      <c r="O2" s="3"/>
      <c r="P2" s="3"/>
      <c r="R2" s="1" t="s">
        <v>25</v>
      </c>
    </row>
    <row r="3" spans="1:42" ht="15" customHeight="1" x14ac:dyDescent="0.35">
      <c r="A3" s="2">
        <v>18</v>
      </c>
      <c r="B3" s="96" t="str">
        <f>IF('Spek Produk'!$F$9="Syariah",Medic!B22,Medic!B13)</f>
        <v>AA</v>
      </c>
      <c r="C3" s="96" t="str">
        <f>IF('Spek Produk'!$F$9="Syariah",Medic!C22,Medic!C13)</f>
        <v>NM</v>
      </c>
      <c r="D3" s="96" t="str">
        <f>IF('Spek Produk'!$F$9="Syariah",Medic!D22,Medic!D13)</f>
        <v>NM</v>
      </c>
      <c r="E3" s="96" t="str">
        <f>IF('Spek Produk'!$F$9="Syariah",Medic!E22,Medic!E13)</f>
        <v>NM</v>
      </c>
      <c r="F3" s="96" t="str">
        <f>IF('Spek Produk'!$F$9="Syariah",Medic!F22,Medic!F13)</f>
        <v>B</v>
      </c>
      <c r="G3" s="96" t="str">
        <f>IF('Spek Produk'!$F$9="Syariah",Medic!G22,Medic!G13)</f>
        <v>C</v>
      </c>
      <c r="H3" s="96" t="str">
        <f>IF('Spek Produk'!$F$9="Syariah",Medic!H22,Medic!H13)</f>
        <v>D</v>
      </c>
      <c r="I3" s="96" t="str">
        <f>IF('Spek Produk'!$F$9="Syariah",Medic!I22,Medic!I13)</f>
        <v>E</v>
      </c>
      <c r="J3" s="96" t="str">
        <f>IF('Spek Produk'!$F$9="Syariah",Medic!J22,Medic!J13)</f>
        <v>E</v>
      </c>
      <c r="K3" s="96" t="str">
        <f>IF('Spek Produk'!$F$9="Syariah",Medic!K22,Medic!K13)</f>
        <v>E</v>
      </c>
      <c r="L3" s="96" t="str">
        <f>IF('Spek Produk'!$F$9="Syariah",Medic!L22,Medic!L13)</f>
        <v>E</v>
      </c>
      <c r="M3" s="96"/>
      <c r="N3" s="2"/>
      <c r="O3" s="2"/>
      <c r="P3" s="2"/>
      <c r="R3" s="101" t="s">
        <v>23</v>
      </c>
      <c r="S3" s="102" t="s">
        <v>24</v>
      </c>
      <c r="T3" s="147" t="s">
        <v>32</v>
      </c>
      <c r="U3" s="147"/>
      <c r="V3" s="147"/>
      <c r="W3" s="147"/>
      <c r="X3" s="147"/>
      <c r="Y3" s="147"/>
      <c r="Z3" s="147"/>
      <c r="AA3" s="147"/>
      <c r="AB3" s="147"/>
      <c r="AC3" s="147"/>
      <c r="AD3" s="147"/>
      <c r="AE3" s="147"/>
      <c r="AF3" s="147"/>
      <c r="AG3" s="147"/>
      <c r="AH3" s="147"/>
      <c r="AI3" s="147"/>
      <c r="AJ3" s="147"/>
      <c r="AK3" s="147"/>
      <c r="AL3" s="147"/>
      <c r="AM3" s="147"/>
      <c r="AN3" s="147"/>
      <c r="AO3" s="147"/>
      <c r="AP3" s="147"/>
    </row>
    <row r="4" spans="1:42" ht="15" customHeight="1" x14ac:dyDescent="0.35">
      <c r="A4" s="2">
        <v>46</v>
      </c>
      <c r="B4" s="96" t="str">
        <f>IF('Spek Produk'!$F$9="Syariah",Medic!B23,Medic!B14)</f>
        <v>AA</v>
      </c>
      <c r="C4" s="96" t="str">
        <f>IF('Spek Produk'!$F$9="Syariah",Medic!C23,Medic!C14)</f>
        <v>NM</v>
      </c>
      <c r="D4" s="96" t="str">
        <f>IF('Spek Produk'!$F$9="Syariah",Medic!D23,Medic!D14)</f>
        <v>NM</v>
      </c>
      <c r="E4" s="96" t="str">
        <f>IF('Spek Produk'!$F$9="Syariah",Medic!E23,Medic!E14)</f>
        <v>A</v>
      </c>
      <c r="F4" s="96" t="str">
        <f>IF('Spek Produk'!$F$9="Syariah",Medic!F23,Medic!F14)</f>
        <v>B</v>
      </c>
      <c r="G4" s="96" t="str">
        <f>IF('Spek Produk'!$F$9="Syariah",Medic!G23,Medic!G14)</f>
        <v>C</v>
      </c>
      <c r="H4" s="96" t="str">
        <f>IF('Spek Produk'!$F$9="Syariah",Medic!H23,Medic!H14)</f>
        <v>E</v>
      </c>
      <c r="I4" s="96" t="str">
        <f>IF('Spek Produk'!$F$9="Syariah",Medic!I23,Medic!I14)</f>
        <v>E</v>
      </c>
      <c r="J4" s="96" t="str">
        <f>IF('Spek Produk'!$F$9="Syariah",Medic!J23,Medic!J14)</f>
        <v>E</v>
      </c>
      <c r="K4" s="96" t="str">
        <f>IF('Spek Produk'!$F$9="Syariah",Medic!K23,Medic!K14)</f>
        <v>E</v>
      </c>
      <c r="L4" s="96" t="str">
        <f>IF('Spek Produk'!$F$9="Syariah",Medic!L23,Medic!L14)</f>
        <v>E</v>
      </c>
      <c r="M4" s="96"/>
      <c r="N4" s="2"/>
      <c r="O4" s="2"/>
      <c r="P4" s="2"/>
      <c r="R4" s="101" t="s">
        <v>21</v>
      </c>
      <c r="S4" s="102" t="s">
        <v>24</v>
      </c>
      <c r="T4" s="146" t="str">
        <f>"Non Medis (Mengisi "&amp;IF('Spek Produk'!F9="Konvensional","SPAJK","SPAJP")&amp;")."</f>
        <v>Non Medis (Mengisi SPAJK).</v>
      </c>
      <c r="U4" s="146"/>
      <c r="V4" s="146"/>
      <c r="W4" s="146"/>
      <c r="X4" s="146"/>
      <c r="Y4" s="146"/>
      <c r="Z4" s="146"/>
      <c r="AA4" s="146"/>
      <c r="AB4" s="146"/>
      <c r="AC4" s="146"/>
      <c r="AD4" s="146"/>
      <c r="AE4" s="146"/>
      <c r="AF4" s="146"/>
      <c r="AG4" s="146"/>
      <c r="AH4" s="146"/>
      <c r="AI4" s="146"/>
      <c r="AJ4" s="146"/>
      <c r="AK4" s="146"/>
      <c r="AL4" s="146"/>
      <c r="AM4" s="146"/>
      <c r="AN4" s="146"/>
      <c r="AO4" s="146"/>
      <c r="AP4" s="146"/>
    </row>
    <row r="5" spans="1:42" ht="15" customHeight="1" x14ac:dyDescent="0.35">
      <c r="A5" s="2">
        <v>51</v>
      </c>
      <c r="B5" s="96" t="str">
        <f>IF('Spek Produk'!$F$9="Syariah",Medic!B24,Medic!B15)</f>
        <v>NM</v>
      </c>
      <c r="C5" s="96" t="str">
        <f>IF('Spek Produk'!$F$9="Syariah",Medic!C24,Medic!C15)</f>
        <v>NM</v>
      </c>
      <c r="D5" s="96" t="str">
        <f>IF('Spek Produk'!$F$9="Syariah",Medic!D24,Medic!D15)</f>
        <v>B</v>
      </c>
      <c r="E5" s="96" t="str">
        <f>IF('Spek Produk'!$F$9="Syariah",Medic!E24,Medic!E15)</f>
        <v>B</v>
      </c>
      <c r="F5" s="96" t="str">
        <f>IF('Spek Produk'!$F$9="Syariah",Medic!F24,Medic!F15)</f>
        <v>C</v>
      </c>
      <c r="G5" s="96" t="str">
        <f>IF('Spek Produk'!$F$9="Syariah",Medic!G24,Medic!G15)</f>
        <v>D</v>
      </c>
      <c r="H5" s="96" t="str">
        <f>IF('Spek Produk'!$F$9="Syariah",Medic!H24,Medic!H15)</f>
        <v>E</v>
      </c>
      <c r="I5" s="96" t="str">
        <f>IF('Spek Produk'!$F$9="Syariah",Medic!I24,Medic!I15)</f>
        <v>E</v>
      </c>
      <c r="J5" s="96" t="str">
        <f>IF('Spek Produk'!$F$9="Syariah",Medic!J24,Medic!J15)</f>
        <v>E</v>
      </c>
      <c r="K5" s="96" t="str">
        <f>IF('Spek Produk'!$F$9="Syariah",Medic!K24,Medic!K15)</f>
        <v>E</v>
      </c>
      <c r="L5" s="96" t="str">
        <f>IF('Spek Produk'!$F$9="Syariah",Medic!L24,Medic!L15)</f>
        <v>E</v>
      </c>
      <c r="M5" s="96"/>
      <c r="N5" s="2"/>
      <c r="O5" s="2"/>
      <c r="P5" s="2"/>
      <c r="R5" s="101" t="s">
        <v>22</v>
      </c>
      <c r="S5" s="102" t="s">
        <v>24</v>
      </c>
      <c r="T5" s="146" t="str">
        <f>IF('Spek Produk'!F9="Konvensional","SPAJK","SPAJP")&amp;", LPK, Urin Lengkap."</f>
        <v>SPAJK, LPK, Urin Lengkap.</v>
      </c>
      <c r="U5" s="146"/>
      <c r="V5" s="146"/>
      <c r="W5" s="146"/>
      <c r="X5" s="146"/>
      <c r="Y5" s="146"/>
      <c r="Z5" s="146"/>
      <c r="AA5" s="146"/>
      <c r="AB5" s="146"/>
      <c r="AC5" s="146"/>
      <c r="AD5" s="146"/>
      <c r="AE5" s="146"/>
      <c r="AF5" s="146"/>
      <c r="AG5" s="146"/>
      <c r="AH5" s="146"/>
      <c r="AI5" s="146"/>
      <c r="AJ5" s="146"/>
      <c r="AK5" s="146"/>
      <c r="AL5" s="146"/>
      <c r="AM5" s="146"/>
      <c r="AN5" s="146"/>
      <c r="AO5" s="146"/>
      <c r="AP5" s="146"/>
    </row>
    <row r="6" spans="1:42" ht="15" customHeight="1" x14ac:dyDescent="0.35">
      <c r="A6" s="2">
        <v>56</v>
      </c>
      <c r="B6" s="96" t="str">
        <f>IF('Spek Produk'!$F$9="Syariah",Medic!B25,Medic!B16)</f>
        <v>A</v>
      </c>
      <c r="C6" s="96" t="str">
        <f>IF('Spek Produk'!$F$9="Syariah",Medic!C25,Medic!C16)</f>
        <v>B</v>
      </c>
      <c r="D6" s="96" t="str">
        <f>IF('Spek Produk'!$F$9="Syariah",Medic!D25,Medic!D16)</f>
        <v>B</v>
      </c>
      <c r="E6" s="96" t="str">
        <f>IF('Spek Produk'!$F$9="Syariah",Medic!E25,Medic!E16)</f>
        <v>B</v>
      </c>
      <c r="F6" s="96" t="str">
        <f>IF('Spek Produk'!$F$9="Syariah",Medic!F25,Medic!F16)</f>
        <v>C</v>
      </c>
      <c r="G6" s="96" t="str">
        <f>IF('Spek Produk'!$F$9="Syariah",Medic!G25,Medic!G16)</f>
        <v>D</v>
      </c>
      <c r="H6" s="96" t="str">
        <f>IF('Spek Produk'!$F$9="Syariah",Medic!H25,Medic!H16)</f>
        <v>E</v>
      </c>
      <c r="I6" s="96" t="str">
        <f>IF('Spek Produk'!$F$9="Syariah",Medic!I25,Medic!I16)</f>
        <v>E</v>
      </c>
      <c r="J6" s="96" t="str">
        <f>IF('Spek Produk'!$F$9="Syariah",Medic!J25,Medic!J16)</f>
        <v>E</v>
      </c>
      <c r="K6" s="96" t="str">
        <f>IF('Spek Produk'!$F$9="Syariah",Medic!K25,Medic!K16)</f>
        <v>E</v>
      </c>
      <c r="L6" s="96" t="str">
        <f>IF('Spek Produk'!$F$9="Syariah",Medic!L25,Medic!L16)</f>
        <v>E</v>
      </c>
      <c r="M6" s="96"/>
      <c r="N6" s="2"/>
      <c r="O6" s="2"/>
      <c r="P6" s="2"/>
      <c r="R6" s="101" t="s">
        <v>20</v>
      </c>
      <c r="S6" s="102" t="s">
        <v>24</v>
      </c>
      <c r="T6" s="146" t="str">
        <f>IF('Spek Produk'!F9="Konvensional","SPAJK","SPAJP")&amp;", LPK, Urin Lengkap, Analisa Lemak Darah, Analisa Gula Darah, EKG, Rontgen Dada."</f>
        <v>SPAJK, LPK, Urin Lengkap, Analisa Lemak Darah, Analisa Gula Darah, EKG, Rontgen Dada.</v>
      </c>
      <c r="U6" s="146"/>
      <c r="V6" s="146"/>
      <c r="W6" s="146"/>
      <c r="X6" s="146"/>
      <c r="Y6" s="146"/>
      <c r="Z6" s="146"/>
      <c r="AA6" s="146"/>
      <c r="AB6" s="146"/>
      <c r="AC6" s="146"/>
      <c r="AD6" s="146"/>
      <c r="AE6" s="146"/>
      <c r="AF6" s="146"/>
      <c r="AG6" s="146"/>
      <c r="AH6" s="146"/>
      <c r="AI6" s="146"/>
      <c r="AJ6" s="146"/>
      <c r="AK6" s="146"/>
      <c r="AL6" s="146"/>
      <c r="AM6" s="146"/>
      <c r="AN6" s="146"/>
      <c r="AO6" s="146"/>
      <c r="AP6" s="146"/>
    </row>
    <row r="7" spans="1:42" ht="15" customHeight="1" x14ac:dyDescent="0.35">
      <c r="A7" s="2">
        <v>61</v>
      </c>
      <c r="B7" s="96" t="str">
        <f>IF('Spek Produk'!$F$9="Syariah",Medic!B26,Medic!B17)</f>
        <v>A</v>
      </c>
      <c r="C7" s="96" t="str">
        <f>IF('Spek Produk'!$F$9="Syariah",Medic!C26,Medic!C17)</f>
        <v>B</v>
      </c>
      <c r="D7" s="96" t="str">
        <f>IF('Spek Produk'!$F$9="Syariah",Medic!D26,Medic!D17)</f>
        <v>C</v>
      </c>
      <c r="E7" s="96" t="str">
        <f>IF('Spek Produk'!$F$9="Syariah",Medic!E26,Medic!E17)</f>
        <v>C</v>
      </c>
      <c r="F7" s="96" t="str">
        <f>IF('Spek Produk'!$F$9="Syariah",Medic!F26,Medic!F17)</f>
        <v>D</v>
      </c>
      <c r="G7" s="96" t="str">
        <f>IF('Spek Produk'!$F$9="Syariah",Medic!G26,Medic!G17)</f>
        <v>E</v>
      </c>
      <c r="H7" s="96" t="str">
        <f>IF('Spek Produk'!$F$9="Syariah",Medic!H26,Medic!H17)</f>
        <v>E</v>
      </c>
      <c r="I7" s="96" t="str">
        <f>IF('Spek Produk'!$F$9="Syariah",Medic!I26,Medic!I17)</f>
        <v>E</v>
      </c>
      <c r="J7" s="96" t="str">
        <f>IF('Spek Produk'!$F$9="Syariah",Medic!J26,Medic!J17)</f>
        <v>E</v>
      </c>
      <c r="K7" s="96" t="str">
        <f>IF('Spek Produk'!$F$9="Syariah",Medic!K26,Medic!K17)</f>
        <v>E</v>
      </c>
      <c r="L7" s="96" t="str">
        <f>IF('Spek Produk'!$F$9="Syariah",Medic!L26,Medic!L17)</f>
        <v>E</v>
      </c>
      <c r="M7" s="96"/>
      <c r="N7" s="2"/>
      <c r="O7" s="2"/>
      <c r="P7" s="2"/>
      <c r="R7" s="101" t="s">
        <v>19</v>
      </c>
      <c r="S7" s="102" t="s">
        <v>24</v>
      </c>
      <c r="T7" s="146" t="str">
        <f>IF('Spek Produk'!F9="Konvensional","SPAJK","SPAJP")&amp;", LPK, Urin Lengkap, Analisa Darah Lengkap, Rontgen Dada, Treadmill Test."</f>
        <v>SPAJK, LPK, Urin Lengkap, Analisa Darah Lengkap, Rontgen Dada, Treadmill Test.</v>
      </c>
      <c r="U7" s="146"/>
      <c r="V7" s="146"/>
      <c r="W7" s="146"/>
      <c r="X7" s="146"/>
      <c r="Y7" s="146"/>
      <c r="Z7" s="146"/>
      <c r="AA7" s="146"/>
      <c r="AB7" s="146"/>
      <c r="AC7" s="146"/>
      <c r="AD7" s="146"/>
      <c r="AE7" s="146"/>
      <c r="AF7" s="146"/>
      <c r="AG7" s="146"/>
      <c r="AH7" s="146"/>
      <c r="AI7" s="146"/>
      <c r="AJ7" s="146"/>
      <c r="AK7" s="146"/>
      <c r="AL7" s="146"/>
      <c r="AM7" s="146"/>
      <c r="AN7" s="146"/>
      <c r="AO7" s="146"/>
      <c r="AP7" s="146"/>
    </row>
    <row r="8" spans="1:42" ht="15" customHeight="1" x14ac:dyDescent="0.35">
      <c r="A8" s="2">
        <v>66</v>
      </c>
      <c r="B8" s="96" t="str">
        <f>IF('Spek Produk'!$F$9="Syariah",Medic!B27,Medic!B18)</f>
        <v>-</v>
      </c>
      <c r="C8" s="96" t="str">
        <f>IF('Spek Produk'!$F$9="Syariah",Medic!C27,Medic!C18)</f>
        <v>-</v>
      </c>
      <c r="D8" s="96" t="str">
        <f>IF('Spek Produk'!$F$9="Syariah",Medic!D27,Medic!D18)</f>
        <v>-</v>
      </c>
      <c r="E8" s="96" t="str">
        <f>IF('Spek Produk'!$F$9="Syariah",Medic!E27,Medic!E18)</f>
        <v>-</v>
      </c>
      <c r="F8" s="96" t="str">
        <f>IF('Spek Produk'!$F$9="Syariah",Medic!F27,Medic!F18)</f>
        <v>-</v>
      </c>
      <c r="G8" s="96" t="str">
        <f>IF('Spek Produk'!$F$9="Syariah",Medic!G27,Medic!G18)</f>
        <v>-</v>
      </c>
      <c r="H8" s="96" t="str">
        <f>IF('Spek Produk'!$F$9="Syariah",Medic!H27,Medic!H18)</f>
        <v>-</v>
      </c>
      <c r="I8" s="96" t="str">
        <f>IF('Spek Produk'!$F$9="Syariah",Medic!I27,Medic!I18)</f>
        <v>-</v>
      </c>
      <c r="J8" s="96" t="str">
        <f>IF('Spek Produk'!$F$9="Syariah",Medic!J27,Medic!J18)</f>
        <v>-</v>
      </c>
      <c r="K8" s="96" t="str">
        <f>IF('Spek Produk'!$F$9="Syariah",Medic!K27,Medic!K18)</f>
        <v>-</v>
      </c>
      <c r="L8" s="96" t="str">
        <f>IF('Spek Produk'!$F$9="Syariah",Medic!L27,Medic!L18)</f>
        <v>-</v>
      </c>
      <c r="N8" s="2"/>
      <c r="O8" s="2"/>
      <c r="P8" s="2"/>
      <c r="R8" s="101" t="s">
        <v>18</v>
      </c>
      <c r="S8" s="102" t="s">
        <v>24</v>
      </c>
      <c r="T8" s="146" t="str">
        <f>IF('Spek Produk'!F9="Konvensional","SPAJK","SPAJP")&amp;", LPK, Urin Lengkap, Analisa Darah Lengkap, Rontgen Dada, Treadmill Test, HBsAg (langsung periksa HBeAg jika hasil HBsAg positif) ."</f>
        <v>SPAJK, LPK, Urin Lengkap, Analisa Darah Lengkap, Rontgen Dada, Treadmill Test, HBsAg (langsung periksa HBeAg jika hasil HBsAg positif) .</v>
      </c>
      <c r="U8" s="146"/>
      <c r="V8" s="146"/>
      <c r="W8" s="146"/>
      <c r="X8" s="146"/>
      <c r="Y8" s="146"/>
      <c r="Z8" s="146"/>
      <c r="AA8" s="146"/>
      <c r="AB8" s="146"/>
      <c r="AC8" s="146"/>
      <c r="AD8" s="146"/>
      <c r="AE8" s="146"/>
      <c r="AF8" s="146"/>
      <c r="AG8" s="146"/>
      <c r="AH8" s="146"/>
      <c r="AI8" s="146"/>
      <c r="AJ8" s="146"/>
      <c r="AK8" s="146"/>
      <c r="AL8" s="146"/>
      <c r="AM8" s="146"/>
      <c r="AN8" s="146"/>
      <c r="AO8" s="146"/>
      <c r="AP8" s="146"/>
    </row>
    <row r="9" spans="1:42" ht="15" customHeight="1" x14ac:dyDescent="0.35">
      <c r="N9" s="97"/>
      <c r="O9" s="97"/>
      <c r="P9" s="97"/>
      <c r="R9" s="101" t="s">
        <v>17</v>
      </c>
      <c r="S9" s="102" t="s">
        <v>24</v>
      </c>
      <c r="T9" s="146" t="str">
        <f>IF('Spek Produk'!F9="Konvensional","SPAJK","SPAJP")&amp;", LPK, Urin Lengkap, Analisa Darah Lengkap, Rontgen Dada, Treadmill Test, "&amp;"HBsAg (langsung periksa HBeAg jika hasil HBsAg positif), AFP (Alpha Fetoprotein), "&amp;"CEA (Carcino Embrryonic Antigen), HIV Test, PSA (Prostate Specific Antigen untuk Laki-laki berusia lebih dari 45 tahun) / CA 125 (Carsinoma Antigen untuk Wanita berusia lebih dari 35 tahun)."</f>
        <v>SPAJK, LPK, Urin Lengkap, Analisa Darah Lengkap, Rontgen Dada, Treadmill Test, HBsAg (langsung periksa HBeAg jika hasil HBsAg positif), AFP (Alpha Fetoprotein), CEA (Carcino Embrryonic Antigen), HIV Test, PSA (Prostate Specific Antigen untuk Laki-laki berusia lebih dari 45 tahun) / CA 125 (Carsinoma Antigen untuk Wanita berusia lebih dari 35 tahun).</v>
      </c>
      <c r="U9" s="146"/>
      <c r="V9" s="146"/>
      <c r="W9" s="146"/>
      <c r="X9" s="146"/>
      <c r="Y9" s="146"/>
      <c r="Z9" s="146"/>
      <c r="AA9" s="146"/>
      <c r="AB9" s="146"/>
      <c r="AC9" s="146"/>
      <c r="AD9" s="146"/>
      <c r="AE9" s="146"/>
      <c r="AF9" s="146"/>
      <c r="AG9" s="146"/>
      <c r="AH9" s="146"/>
      <c r="AI9" s="146"/>
      <c r="AJ9" s="146"/>
      <c r="AK9" s="146"/>
      <c r="AL9" s="146"/>
      <c r="AM9" s="146"/>
      <c r="AN9" s="146"/>
      <c r="AO9" s="146"/>
      <c r="AP9" s="146"/>
    </row>
    <row r="10" spans="1:42" ht="15" customHeight="1" x14ac:dyDescent="0.35">
      <c r="N10" s="97"/>
      <c r="O10" s="97"/>
      <c r="P10" s="97"/>
      <c r="R10" s="101"/>
      <c r="S10" s="102"/>
      <c r="T10" s="146"/>
      <c r="U10" s="146"/>
      <c r="V10" s="146"/>
      <c r="W10" s="146"/>
      <c r="X10" s="146"/>
      <c r="Y10" s="146"/>
      <c r="Z10" s="146"/>
      <c r="AA10" s="146"/>
      <c r="AB10" s="146"/>
      <c r="AC10" s="146"/>
      <c r="AD10" s="146"/>
      <c r="AE10" s="146"/>
      <c r="AF10" s="146"/>
      <c r="AG10" s="146"/>
      <c r="AH10" s="146"/>
      <c r="AI10" s="146"/>
      <c r="AJ10" s="146"/>
      <c r="AK10" s="146"/>
      <c r="AL10" s="146"/>
      <c r="AM10" s="146"/>
      <c r="AN10" s="146"/>
      <c r="AO10" s="146"/>
      <c r="AP10" s="146"/>
    </row>
    <row r="11" spans="1:42" x14ac:dyDescent="0.35">
      <c r="A11" s="1" t="s">
        <v>97</v>
      </c>
      <c r="N11" s="97"/>
      <c r="O11" s="97"/>
      <c r="P11" s="97"/>
    </row>
    <row r="12" spans="1:42" x14ac:dyDescent="0.35">
      <c r="A12" s="98"/>
      <c r="B12" s="3">
        <v>0</v>
      </c>
      <c r="C12" s="3">
        <v>250000001</v>
      </c>
      <c r="D12" s="3">
        <v>500000001</v>
      </c>
      <c r="E12" s="3">
        <v>1000000001</v>
      </c>
      <c r="F12" s="3">
        <v>1500000001</v>
      </c>
      <c r="G12" s="3">
        <v>3000000001</v>
      </c>
      <c r="H12" s="3">
        <v>4000000001</v>
      </c>
      <c r="I12" s="3">
        <v>5000000001</v>
      </c>
      <c r="J12" s="3">
        <v>7500000001</v>
      </c>
      <c r="K12" s="3">
        <v>7500000001</v>
      </c>
      <c r="L12" s="3">
        <v>7500000001</v>
      </c>
      <c r="N12" s="97"/>
      <c r="O12" s="97"/>
      <c r="P12" s="97"/>
    </row>
    <row r="13" spans="1:42" x14ac:dyDescent="0.35">
      <c r="A13" s="2">
        <v>18</v>
      </c>
      <c r="B13" s="96" t="s">
        <v>23</v>
      </c>
      <c r="C13" s="96" t="s">
        <v>21</v>
      </c>
      <c r="D13" s="96" t="s">
        <v>21</v>
      </c>
      <c r="E13" s="96" t="s">
        <v>21</v>
      </c>
      <c r="F13" s="96" t="s">
        <v>20</v>
      </c>
      <c r="G13" s="96" t="s">
        <v>19</v>
      </c>
      <c r="H13" s="96" t="s">
        <v>18</v>
      </c>
      <c r="I13" s="96" t="s">
        <v>17</v>
      </c>
      <c r="J13" s="99" t="s">
        <v>17</v>
      </c>
      <c r="K13" s="99" t="s">
        <v>17</v>
      </c>
      <c r="L13" s="99" t="s">
        <v>17</v>
      </c>
      <c r="M13" s="99"/>
      <c r="N13" s="100"/>
      <c r="O13" s="100"/>
      <c r="P13" s="100"/>
    </row>
    <row r="14" spans="1:42" x14ac:dyDescent="0.35">
      <c r="A14" s="2">
        <v>46</v>
      </c>
      <c r="B14" s="96" t="s">
        <v>23</v>
      </c>
      <c r="C14" s="96" t="s">
        <v>21</v>
      </c>
      <c r="D14" s="96" t="s">
        <v>21</v>
      </c>
      <c r="E14" s="96" t="s">
        <v>22</v>
      </c>
      <c r="F14" s="96" t="s">
        <v>20</v>
      </c>
      <c r="G14" s="96" t="s">
        <v>19</v>
      </c>
      <c r="H14" s="96" t="s">
        <v>17</v>
      </c>
      <c r="I14" s="96" t="s">
        <v>17</v>
      </c>
      <c r="J14" s="99" t="s">
        <v>17</v>
      </c>
      <c r="K14" s="99" t="s">
        <v>17</v>
      </c>
      <c r="L14" s="99" t="s">
        <v>17</v>
      </c>
      <c r="M14" s="99"/>
      <c r="N14" s="100"/>
      <c r="O14" s="100"/>
      <c r="P14" s="100"/>
    </row>
    <row r="15" spans="1:42" x14ac:dyDescent="0.35">
      <c r="A15" s="2">
        <v>51</v>
      </c>
      <c r="B15" s="96" t="s">
        <v>21</v>
      </c>
      <c r="C15" s="96" t="s">
        <v>21</v>
      </c>
      <c r="D15" s="96" t="s">
        <v>20</v>
      </c>
      <c r="E15" s="96" t="s">
        <v>20</v>
      </c>
      <c r="F15" s="96" t="s">
        <v>19</v>
      </c>
      <c r="G15" s="96" t="s">
        <v>18</v>
      </c>
      <c r="H15" s="96" t="s">
        <v>17</v>
      </c>
      <c r="I15" s="96" t="s">
        <v>17</v>
      </c>
      <c r="J15" s="99" t="s">
        <v>17</v>
      </c>
      <c r="K15" s="99" t="s">
        <v>17</v>
      </c>
      <c r="L15" s="99" t="s">
        <v>17</v>
      </c>
      <c r="M15" s="99"/>
      <c r="N15" s="100"/>
      <c r="O15" s="100"/>
      <c r="P15" s="100"/>
    </row>
    <row r="16" spans="1:42" x14ac:dyDescent="0.35">
      <c r="A16" s="2">
        <v>56</v>
      </c>
      <c r="B16" s="96" t="s">
        <v>22</v>
      </c>
      <c r="C16" s="96" t="s">
        <v>20</v>
      </c>
      <c r="D16" s="96" t="s">
        <v>20</v>
      </c>
      <c r="E16" s="96" t="s">
        <v>20</v>
      </c>
      <c r="F16" s="96" t="s">
        <v>19</v>
      </c>
      <c r="G16" s="96" t="s">
        <v>18</v>
      </c>
      <c r="H16" s="96" t="s">
        <v>17</v>
      </c>
      <c r="I16" s="96" t="s">
        <v>17</v>
      </c>
      <c r="J16" s="99" t="s">
        <v>17</v>
      </c>
      <c r="K16" s="99" t="s">
        <v>17</v>
      </c>
      <c r="L16" s="99" t="s">
        <v>17</v>
      </c>
      <c r="M16" s="99"/>
      <c r="N16" s="100"/>
      <c r="O16" s="100"/>
      <c r="P16" s="100"/>
    </row>
    <row r="17" spans="1:16" x14ac:dyDescent="0.35">
      <c r="A17" s="2">
        <v>61</v>
      </c>
      <c r="B17" s="96" t="s">
        <v>22</v>
      </c>
      <c r="C17" s="96" t="s">
        <v>20</v>
      </c>
      <c r="D17" s="96" t="s">
        <v>19</v>
      </c>
      <c r="E17" s="96" t="s">
        <v>19</v>
      </c>
      <c r="F17" s="96" t="s">
        <v>18</v>
      </c>
      <c r="G17" s="96" t="s">
        <v>17</v>
      </c>
      <c r="H17" s="96" t="s">
        <v>17</v>
      </c>
      <c r="I17" s="96" t="s">
        <v>17</v>
      </c>
      <c r="J17" s="99" t="s">
        <v>17</v>
      </c>
      <c r="K17" s="99" t="s">
        <v>17</v>
      </c>
      <c r="L17" s="99" t="s">
        <v>17</v>
      </c>
      <c r="M17" s="99"/>
      <c r="N17" s="100"/>
      <c r="O17" s="100"/>
      <c r="P17" s="100"/>
    </row>
    <row r="18" spans="1:16" x14ac:dyDescent="0.35">
      <c r="A18" s="2">
        <v>66</v>
      </c>
      <c r="B18" s="2" t="s">
        <v>34</v>
      </c>
      <c r="C18" s="2" t="s">
        <v>34</v>
      </c>
      <c r="D18" s="2" t="s">
        <v>34</v>
      </c>
      <c r="E18" s="2" t="s">
        <v>34</v>
      </c>
      <c r="F18" s="2" t="s">
        <v>34</v>
      </c>
      <c r="G18" s="2" t="s">
        <v>34</v>
      </c>
      <c r="H18" s="2" t="s">
        <v>34</v>
      </c>
      <c r="I18" s="2" t="s">
        <v>34</v>
      </c>
      <c r="J18" s="99" t="s">
        <v>34</v>
      </c>
      <c r="K18" s="99" t="s">
        <v>34</v>
      </c>
      <c r="L18" s="99" t="s">
        <v>34</v>
      </c>
      <c r="M18" s="99"/>
      <c r="N18" s="100"/>
      <c r="O18" s="100"/>
      <c r="P18" s="100"/>
    </row>
    <row r="19" spans="1:16" x14ac:dyDescent="0.35">
      <c r="G19" s="99"/>
      <c r="H19" s="99"/>
      <c r="I19" s="99"/>
      <c r="J19" s="99"/>
      <c r="K19" s="99"/>
      <c r="L19" s="99"/>
      <c r="M19" s="99"/>
      <c r="N19" s="100"/>
      <c r="O19" s="100"/>
      <c r="P19" s="100"/>
    </row>
    <row r="20" spans="1:16" x14ac:dyDescent="0.35">
      <c r="A20" s="1" t="s">
        <v>51</v>
      </c>
      <c r="G20" s="99"/>
      <c r="H20" s="99"/>
      <c r="I20" s="99"/>
      <c r="J20" s="99"/>
      <c r="K20" s="99"/>
      <c r="L20" s="99"/>
      <c r="M20" s="99"/>
      <c r="N20" s="100"/>
      <c r="O20" s="100"/>
      <c r="P20" s="100"/>
    </row>
    <row r="21" spans="1:16" x14ac:dyDescent="0.35">
      <c r="B21" s="3">
        <v>0</v>
      </c>
      <c r="C21" s="3">
        <v>250000001</v>
      </c>
      <c r="D21" s="3">
        <v>500000001</v>
      </c>
      <c r="E21" s="3">
        <v>1000000001</v>
      </c>
      <c r="F21" s="3">
        <v>1500000001</v>
      </c>
      <c r="G21" s="3">
        <v>3000000001</v>
      </c>
      <c r="H21" s="3">
        <v>4000000001</v>
      </c>
      <c r="I21" s="3">
        <v>5000000001</v>
      </c>
      <c r="J21" s="3">
        <v>7500000001</v>
      </c>
      <c r="K21" s="3">
        <v>7500000001</v>
      </c>
      <c r="L21" s="3">
        <v>7500000001</v>
      </c>
      <c r="M21" s="99"/>
      <c r="N21" s="100"/>
      <c r="O21" s="100"/>
      <c r="P21" s="100"/>
    </row>
    <row r="22" spans="1:16" x14ac:dyDescent="0.35">
      <c r="A22" s="2">
        <v>18</v>
      </c>
      <c r="B22" s="96" t="s">
        <v>23</v>
      </c>
      <c r="C22" s="96" t="s">
        <v>21</v>
      </c>
      <c r="D22" s="96" t="s">
        <v>21</v>
      </c>
      <c r="E22" s="96" t="s">
        <v>21</v>
      </c>
      <c r="F22" s="96" t="s">
        <v>20</v>
      </c>
      <c r="G22" s="96" t="s">
        <v>19</v>
      </c>
      <c r="H22" s="96" t="s">
        <v>18</v>
      </c>
      <c r="I22" s="96" t="s">
        <v>17</v>
      </c>
      <c r="J22" s="99" t="s">
        <v>17</v>
      </c>
      <c r="K22" s="99" t="s">
        <v>17</v>
      </c>
      <c r="L22" s="99" t="s">
        <v>17</v>
      </c>
      <c r="M22" s="99"/>
      <c r="N22" s="100"/>
      <c r="O22" s="100"/>
      <c r="P22" s="100"/>
    </row>
    <row r="23" spans="1:16" x14ac:dyDescent="0.35">
      <c r="A23" s="2">
        <v>36</v>
      </c>
      <c r="B23" s="96" t="s">
        <v>23</v>
      </c>
      <c r="C23" s="96" t="s">
        <v>21</v>
      </c>
      <c r="D23" s="96" t="s">
        <v>21</v>
      </c>
      <c r="E23" s="96" t="s">
        <v>22</v>
      </c>
      <c r="F23" s="96" t="s">
        <v>20</v>
      </c>
      <c r="G23" s="96" t="s">
        <v>19</v>
      </c>
      <c r="H23" s="96" t="s">
        <v>17</v>
      </c>
      <c r="I23" s="96" t="s">
        <v>17</v>
      </c>
      <c r="J23" s="99" t="s">
        <v>17</v>
      </c>
      <c r="K23" s="99" t="s">
        <v>17</v>
      </c>
      <c r="L23" s="99" t="s">
        <v>17</v>
      </c>
      <c r="M23" s="99"/>
      <c r="N23" s="100"/>
      <c r="O23" s="100"/>
      <c r="P23" s="100"/>
    </row>
    <row r="24" spans="1:16" x14ac:dyDescent="0.35">
      <c r="A24" s="2">
        <v>46</v>
      </c>
      <c r="B24" s="96" t="s">
        <v>21</v>
      </c>
      <c r="C24" s="96" t="s">
        <v>21</v>
      </c>
      <c r="D24" s="96" t="s">
        <v>20</v>
      </c>
      <c r="E24" s="96" t="s">
        <v>20</v>
      </c>
      <c r="F24" s="96" t="s">
        <v>19</v>
      </c>
      <c r="G24" s="96" t="s">
        <v>18</v>
      </c>
      <c r="H24" s="96" t="s">
        <v>17</v>
      </c>
      <c r="I24" s="96" t="s">
        <v>17</v>
      </c>
      <c r="J24" s="99" t="s">
        <v>17</v>
      </c>
      <c r="K24" s="99" t="s">
        <v>17</v>
      </c>
      <c r="L24" s="99" t="s">
        <v>17</v>
      </c>
      <c r="M24" s="99"/>
      <c r="N24" s="100"/>
      <c r="O24" s="100"/>
      <c r="P24" s="100"/>
    </row>
    <row r="25" spans="1:16" x14ac:dyDescent="0.35">
      <c r="A25" s="2">
        <v>56</v>
      </c>
      <c r="B25" s="96" t="s">
        <v>22</v>
      </c>
      <c r="C25" s="96" t="s">
        <v>20</v>
      </c>
      <c r="D25" s="96" t="s">
        <v>20</v>
      </c>
      <c r="E25" s="96" t="s">
        <v>20</v>
      </c>
      <c r="F25" s="96" t="s">
        <v>19</v>
      </c>
      <c r="G25" s="96" t="s">
        <v>18</v>
      </c>
      <c r="H25" s="96" t="s">
        <v>17</v>
      </c>
      <c r="I25" s="96" t="s">
        <v>17</v>
      </c>
      <c r="J25" s="99" t="s">
        <v>17</v>
      </c>
      <c r="K25" s="99" t="s">
        <v>17</v>
      </c>
      <c r="L25" s="99" t="s">
        <v>17</v>
      </c>
      <c r="M25" s="99"/>
      <c r="N25" s="100"/>
      <c r="O25" s="100"/>
      <c r="P25" s="100"/>
    </row>
    <row r="26" spans="1:16" x14ac:dyDescent="0.35">
      <c r="A26" s="2">
        <v>61</v>
      </c>
      <c r="B26" s="96" t="s">
        <v>22</v>
      </c>
      <c r="C26" s="96" t="s">
        <v>20</v>
      </c>
      <c r="D26" s="96" t="s">
        <v>19</v>
      </c>
      <c r="E26" s="96" t="s">
        <v>19</v>
      </c>
      <c r="F26" s="96" t="s">
        <v>18</v>
      </c>
      <c r="G26" s="96" t="s">
        <v>17</v>
      </c>
      <c r="H26" s="96" t="s">
        <v>17</v>
      </c>
      <c r="I26" s="96" t="s">
        <v>17</v>
      </c>
      <c r="J26" s="99" t="s">
        <v>17</v>
      </c>
      <c r="K26" s="99" t="s">
        <v>17</v>
      </c>
      <c r="L26" s="99" t="s">
        <v>17</v>
      </c>
      <c r="M26" s="99"/>
      <c r="N26" s="100"/>
      <c r="O26" s="100"/>
      <c r="P26" s="100"/>
    </row>
    <row r="27" spans="1:16" x14ac:dyDescent="0.35">
      <c r="A27" s="2">
        <v>66</v>
      </c>
      <c r="B27" s="2" t="s">
        <v>34</v>
      </c>
      <c r="C27" s="2" t="s">
        <v>34</v>
      </c>
      <c r="D27" s="2" t="s">
        <v>34</v>
      </c>
      <c r="E27" s="2" t="s">
        <v>34</v>
      </c>
      <c r="F27" s="2" t="s">
        <v>34</v>
      </c>
      <c r="G27" s="2" t="s">
        <v>34</v>
      </c>
      <c r="H27" s="2" t="s">
        <v>34</v>
      </c>
      <c r="I27" s="2" t="s">
        <v>34</v>
      </c>
      <c r="J27" s="99" t="s">
        <v>34</v>
      </c>
      <c r="K27" s="99" t="s">
        <v>34</v>
      </c>
      <c r="L27" s="99" t="s">
        <v>34</v>
      </c>
      <c r="M27" s="99"/>
      <c r="N27" s="100"/>
      <c r="O27" s="100"/>
      <c r="P27" s="100"/>
    </row>
    <row r="28" spans="1:16" x14ac:dyDescent="0.35">
      <c r="G28" s="99"/>
      <c r="H28" s="99"/>
      <c r="I28" s="99"/>
      <c r="J28" s="99"/>
      <c r="K28" s="99"/>
      <c r="L28" s="99"/>
      <c r="M28" s="99"/>
      <c r="N28" s="100"/>
      <c r="O28" s="100"/>
      <c r="P28" s="100"/>
    </row>
    <row r="29" spans="1:16" x14ac:dyDescent="0.35">
      <c r="G29" s="99"/>
      <c r="H29" s="99"/>
      <c r="I29" s="99"/>
      <c r="J29" s="99"/>
      <c r="K29" s="99"/>
      <c r="L29" s="99"/>
      <c r="M29" s="99"/>
      <c r="N29" s="100"/>
      <c r="O29" s="100"/>
      <c r="P29" s="100"/>
    </row>
    <row r="30" spans="1:16" x14ac:dyDescent="0.35">
      <c r="G30" s="99"/>
      <c r="H30" s="99"/>
      <c r="I30" s="99"/>
      <c r="J30" s="99"/>
      <c r="K30" s="99"/>
      <c r="L30" s="99"/>
      <c r="M30" s="99"/>
      <c r="N30" s="100"/>
      <c r="O30" s="100"/>
      <c r="P30" s="100"/>
    </row>
    <row r="31" spans="1:16" x14ac:dyDescent="0.35">
      <c r="G31" s="99"/>
      <c r="H31" s="99"/>
      <c r="I31" s="99"/>
      <c r="J31" s="99"/>
      <c r="K31" s="99"/>
      <c r="L31" s="99"/>
      <c r="M31" s="99"/>
      <c r="N31" s="100"/>
      <c r="O31" s="100"/>
      <c r="P31" s="100"/>
    </row>
    <row r="32" spans="1:16" x14ac:dyDescent="0.35">
      <c r="G32" s="99"/>
      <c r="H32" s="99"/>
      <c r="I32" s="99"/>
      <c r="J32" s="99"/>
      <c r="K32" s="99"/>
      <c r="L32" s="99"/>
      <c r="M32" s="99"/>
      <c r="N32" s="100"/>
      <c r="O32" s="100"/>
      <c r="P32" s="100"/>
    </row>
    <row r="33" spans="7:16" x14ac:dyDescent="0.35">
      <c r="G33" s="99"/>
      <c r="H33" s="99"/>
      <c r="I33" s="99"/>
      <c r="J33" s="99"/>
      <c r="K33" s="99"/>
      <c r="L33" s="99"/>
      <c r="M33" s="99"/>
      <c r="N33" s="100"/>
      <c r="O33" s="100"/>
      <c r="P33" s="100"/>
    </row>
    <row r="34" spans="7:16" x14ac:dyDescent="0.35">
      <c r="G34" s="99"/>
      <c r="H34" s="99"/>
      <c r="I34" s="99"/>
      <c r="J34" s="99"/>
      <c r="K34" s="99"/>
      <c r="L34" s="99"/>
      <c r="M34" s="99"/>
      <c r="N34" s="100"/>
      <c r="O34" s="100"/>
      <c r="P34" s="100"/>
    </row>
    <row r="35" spans="7:16" x14ac:dyDescent="0.35">
      <c r="G35" s="99"/>
      <c r="H35" s="99"/>
      <c r="I35" s="99"/>
      <c r="J35" s="99"/>
      <c r="K35" s="99"/>
      <c r="L35" s="99"/>
      <c r="M35" s="99"/>
      <c r="N35" s="100"/>
      <c r="O35" s="100"/>
      <c r="P35" s="100"/>
    </row>
    <row r="36" spans="7:16" x14ac:dyDescent="0.35">
      <c r="G36" s="99"/>
      <c r="H36" s="99"/>
      <c r="I36" s="99"/>
      <c r="J36" s="99"/>
      <c r="K36" s="99"/>
      <c r="L36" s="99"/>
      <c r="M36" s="99"/>
      <c r="N36" s="100"/>
      <c r="O36" s="100"/>
      <c r="P36" s="100"/>
    </row>
    <row r="37" spans="7:16" x14ac:dyDescent="0.35">
      <c r="G37" s="99"/>
      <c r="H37" s="99"/>
      <c r="I37" s="99"/>
      <c r="J37" s="99"/>
      <c r="K37" s="99"/>
      <c r="L37" s="99"/>
      <c r="M37" s="99"/>
      <c r="N37" s="100"/>
      <c r="O37" s="100"/>
      <c r="P37" s="100"/>
    </row>
    <row r="38" spans="7:16" x14ac:dyDescent="0.35">
      <c r="G38" s="99"/>
      <c r="H38" s="99"/>
      <c r="I38" s="99"/>
      <c r="J38" s="99"/>
      <c r="K38" s="99"/>
      <c r="L38" s="99"/>
      <c r="M38" s="99"/>
      <c r="N38" s="100"/>
      <c r="O38" s="100"/>
      <c r="P38" s="100"/>
    </row>
    <row r="39" spans="7:16" x14ac:dyDescent="0.35">
      <c r="G39" s="99"/>
      <c r="H39" s="99"/>
      <c r="I39" s="99"/>
      <c r="J39" s="99"/>
      <c r="K39" s="99"/>
      <c r="L39" s="99"/>
      <c r="M39" s="99"/>
      <c r="N39" s="100"/>
      <c r="O39" s="100"/>
      <c r="P39" s="100"/>
    </row>
    <row r="40" spans="7:16" x14ac:dyDescent="0.35">
      <c r="G40" s="99"/>
      <c r="H40" s="99"/>
      <c r="I40" s="99"/>
      <c r="J40" s="99"/>
      <c r="K40" s="99"/>
      <c r="L40" s="99"/>
      <c r="M40" s="99"/>
      <c r="N40" s="100"/>
      <c r="O40" s="100"/>
      <c r="P40" s="100"/>
    </row>
    <row r="41" spans="7:16" x14ac:dyDescent="0.35">
      <c r="G41" s="99"/>
      <c r="H41" s="99"/>
      <c r="I41" s="99"/>
      <c r="J41" s="99"/>
      <c r="K41" s="99"/>
      <c r="L41" s="99"/>
      <c r="M41" s="99"/>
      <c r="N41" s="100"/>
      <c r="O41" s="100"/>
      <c r="P41" s="100"/>
    </row>
    <row r="42" spans="7:16" x14ac:dyDescent="0.35">
      <c r="G42" s="99"/>
      <c r="H42" s="99"/>
      <c r="I42" s="99"/>
      <c r="J42" s="99"/>
      <c r="K42" s="99"/>
      <c r="L42" s="99"/>
      <c r="M42" s="99"/>
      <c r="N42" s="100"/>
      <c r="O42" s="100"/>
      <c r="P42" s="100"/>
    </row>
    <row r="43" spans="7:16" x14ac:dyDescent="0.35">
      <c r="G43" s="99"/>
      <c r="H43" s="99"/>
      <c r="I43" s="99"/>
      <c r="J43" s="99"/>
      <c r="K43" s="99"/>
      <c r="L43" s="99"/>
      <c r="M43" s="99"/>
      <c r="N43" s="100"/>
      <c r="O43" s="100"/>
      <c r="P43" s="100"/>
    </row>
    <row r="44" spans="7:16" x14ac:dyDescent="0.35">
      <c r="G44" s="99"/>
      <c r="H44" s="99"/>
      <c r="I44" s="99"/>
      <c r="J44" s="99"/>
      <c r="K44" s="99"/>
      <c r="L44" s="99"/>
      <c r="M44" s="99"/>
      <c r="N44" s="100"/>
      <c r="O44" s="100"/>
      <c r="P44" s="100"/>
    </row>
    <row r="45" spans="7:16" x14ac:dyDescent="0.35">
      <c r="G45" s="99"/>
      <c r="H45" s="99"/>
      <c r="I45" s="99"/>
      <c r="J45" s="99"/>
      <c r="K45" s="99"/>
      <c r="L45" s="99"/>
      <c r="M45" s="99"/>
      <c r="N45" s="100"/>
      <c r="O45" s="100"/>
      <c r="P45" s="100"/>
    </row>
    <row r="46" spans="7:16" x14ac:dyDescent="0.35">
      <c r="G46" s="99"/>
      <c r="H46" s="99"/>
      <c r="I46" s="99"/>
      <c r="J46" s="99"/>
      <c r="K46" s="99"/>
      <c r="L46" s="99"/>
      <c r="M46" s="99"/>
      <c r="N46" s="100"/>
      <c r="O46" s="100"/>
      <c r="P46" s="100"/>
    </row>
    <row r="47" spans="7:16" x14ac:dyDescent="0.35">
      <c r="G47" s="99"/>
      <c r="H47" s="99"/>
      <c r="I47" s="99"/>
      <c r="J47" s="99"/>
      <c r="K47" s="99"/>
      <c r="L47" s="99"/>
      <c r="M47" s="99"/>
      <c r="N47" s="100"/>
      <c r="O47" s="100"/>
      <c r="P47" s="100"/>
    </row>
    <row r="48" spans="7:16" x14ac:dyDescent="0.35">
      <c r="G48" s="99"/>
      <c r="H48" s="99"/>
      <c r="I48" s="99"/>
      <c r="J48" s="99"/>
      <c r="K48" s="99"/>
      <c r="L48" s="99"/>
      <c r="M48" s="99"/>
      <c r="N48" s="100"/>
      <c r="O48" s="100"/>
      <c r="P48" s="100"/>
    </row>
    <row r="49" spans="7:16" x14ac:dyDescent="0.35">
      <c r="G49" s="99"/>
      <c r="H49" s="99"/>
      <c r="I49" s="99"/>
      <c r="J49" s="99"/>
      <c r="K49" s="99"/>
      <c r="L49" s="99"/>
      <c r="M49" s="99"/>
      <c r="N49" s="100"/>
      <c r="O49" s="100"/>
      <c r="P49" s="100"/>
    </row>
    <row r="50" spans="7:16" x14ac:dyDescent="0.35">
      <c r="G50" s="99"/>
      <c r="H50" s="99"/>
      <c r="I50" s="99"/>
      <c r="J50" s="99"/>
      <c r="K50" s="99"/>
      <c r="L50" s="99"/>
      <c r="M50" s="99"/>
      <c r="N50" s="100"/>
      <c r="O50" s="100"/>
      <c r="P50" s="100"/>
    </row>
    <row r="51" spans="7:16" x14ac:dyDescent="0.35">
      <c r="G51" s="99"/>
      <c r="H51" s="99"/>
      <c r="I51" s="99"/>
      <c r="J51" s="99"/>
      <c r="K51" s="99"/>
      <c r="L51" s="99"/>
      <c r="M51" s="99"/>
      <c r="N51" s="100"/>
      <c r="O51" s="100"/>
      <c r="P51" s="100"/>
    </row>
    <row r="52" spans="7:16" x14ac:dyDescent="0.35">
      <c r="G52" s="99"/>
      <c r="H52" s="99"/>
      <c r="I52" s="99"/>
      <c r="J52" s="99"/>
      <c r="K52" s="99"/>
      <c r="L52" s="99"/>
      <c r="M52" s="99"/>
      <c r="N52" s="100"/>
      <c r="O52" s="100"/>
      <c r="P52" s="100"/>
    </row>
  </sheetData>
  <sheetProtection selectLockedCells="1" selectUnlockedCells="1"/>
  <mergeCells count="9">
    <mergeCell ref="B1:O1"/>
    <mergeCell ref="T10:AP10"/>
    <mergeCell ref="T8:AP8"/>
    <mergeCell ref="T9:AP9"/>
    <mergeCell ref="T3:AP3"/>
    <mergeCell ref="T4:AP4"/>
    <mergeCell ref="T5:AP5"/>
    <mergeCell ref="T6:AP6"/>
    <mergeCell ref="T7:AP7"/>
  </mergeCell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tabColor theme="5"/>
    <pageSetUpPr fitToPage="1"/>
  </sheetPr>
  <dimension ref="B3:M69"/>
  <sheetViews>
    <sheetView showGridLines="0" tabSelected="1" zoomScale="70" zoomScaleNormal="70" workbookViewId="0"/>
  </sheetViews>
  <sheetFormatPr defaultColWidth="9" defaultRowHeight="15.5" x14ac:dyDescent="0.35"/>
  <cols>
    <col min="1" max="1" width="7.453125" style="49" customWidth="1"/>
    <col min="2" max="2" width="9" style="49"/>
    <col min="3" max="3" width="22.7265625" style="49" customWidth="1"/>
    <col min="4" max="4" width="32.26953125" style="49" bestFit="1" customWidth="1"/>
    <col min="5" max="5" width="27.26953125" style="49" customWidth="1"/>
    <col min="6" max="6" width="31" style="49" customWidth="1"/>
    <col min="7" max="7" width="8" style="49" customWidth="1"/>
    <col min="8" max="9" width="24.26953125" style="49" customWidth="1"/>
    <col min="10" max="10" width="9" style="49" customWidth="1"/>
    <col min="11" max="11" width="9" style="49"/>
    <col min="12" max="12" width="16.54296875" style="49" bestFit="1" customWidth="1"/>
    <col min="13" max="16384" width="9" style="49"/>
  </cols>
  <sheetData>
    <row r="3" spans="2:10" ht="16" thickBot="1" x14ac:dyDescent="0.4"/>
    <row r="4" spans="2:10" ht="16" thickTop="1" x14ac:dyDescent="0.35">
      <c r="B4" s="119"/>
      <c r="C4" s="120"/>
      <c r="D4" s="120"/>
      <c r="E4" s="120"/>
      <c r="F4" s="120"/>
      <c r="G4" s="120"/>
      <c r="H4" s="120"/>
      <c r="I4" s="120"/>
      <c r="J4" s="121"/>
    </row>
    <row r="5" spans="2:10" x14ac:dyDescent="0.35">
      <c r="B5" s="122"/>
      <c r="C5" s="123"/>
      <c r="D5" s="123"/>
      <c r="E5" s="123"/>
      <c r="F5" s="123"/>
      <c r="G5" s="123"/>
      <c r="H5" s="123"/>
      <c r="I5" s="123"/>
      <c r="J5" s="124"/>
    </row>
    <row r="6" spans="2:10" x14ac:dyDescent="0.35">
      <c r="B6" s="50"/>
      <c r="C6" s="51"/>
      <c r="D6" s="51"/>
      <c r="E6" s="51"/>
      <c r="F6" s="51"/>
      <c r="G6" s="51"/>
      <c r="H6" s="51"/>
      <c r="I6" s="51"/>
      <c r="J6" s="52"/>
    </row>
    <row r="7" spans="2:10" x14ac:dyDescent="0.35">
      <c r="B7" s="50"/>
      <c r="C7" s="51" t="s">
        <v>6</v>
      </c>
      <c r="D7" s="53"/>
      <c r="E7" s="51"/>
      <c r="F7" s="51"/>
      <c r="G7" s="51"/>
      <c r="H7" s="51"/>
      <c r="I7" s="51"/>
      <c r="J7" s="52"/>
    </row>
    <row r="8" spans="2:10" x14ac:dyDescent="0.35">
      <c r="B8" s="50"/>
      <c r="C8" s="54" t="s">
        <v>26</v>
      </c>
      <c r="D8" s="53"/>
      <c r="E8" s="51"/>
      <c r="F8" s="51"/>
      <c r="G8" s="51"/>
      <c r="H8" s="51"/>
      <c r="I8" s="51"/>
      <c r="J8" s="52"/>
    </row>
    <row r="9" spans="2:10" x14ac:dyDescent="0.35">
      <c r="B9" s="50"/>
      <c r="C9" s="54" t="s">
        <v>7</v>
      </c>
      <c r="D9" s="53"/>
      <c r="E9" s="51"/>
      <c r="F9" s="51"/>
      <c r="G9" s="51"/>
      <c r="H9" s="51"/>
      <c r="I9" s="51"/>
      <c r="J9" s="52"/>
    </row>
    <row r="10" spans="2:10" x14ac:dyDescent="0.35">
      <c r="B10" s="50"/>
      <c r="C10" s="54" t="s">
        <v>8</v>
      </c>
      <c r="D10" s="53"/>
      <c r="E10" s="51"/>
      <c r="F10" s="51"/>
      <c r="G10" s="51"/>
      <c r="H10" s="51"/>
      <c r="I10" s="51"/>
      <c r="J10" s="52"/>
    </row>
    <row r="11" spans="2:10" x14ac:dyDescent="0.35">
      <c r="B11" s="50"/>
      <c r="C11" s="54" t="str">
        <f>"Email : "&amp;VLOOKUP('Spek Produk'!F6,Email_Table,2,FALSE)</f>
        <v>Email : bancassurance@simasjiwa.co.id</v>
      </c>
      <c r="D11" s="53"/>
      <c r="E11" s="51"/>
      <c r="F11" s="51"/>
      <c r="G11" s="51"/>
      <c r="H11" s="51"/>
      <c r="I11" s="51"/>
      <c r="J11" s="52"/>
    </row>
    <row r="12" spans="2:10" x14ac:dyDescent="0.35">
      <c r="B12" s="50"/>
      <c r="C12" s="51"/>
      <c r="D12" s="53"/>
      <c r="E12" s="51"/>
      <c r="F12" s="51"/>
      <c r="G12" s="51"/>
      <c r="H12" s="51"/>
      <c r="I12" s="51"/>
      <c r="J12" s="52"/>
    </row>
    <row r="13" spans="2:10" x14ac:dyDescent="0.35">
      <c r="B13" s="50"/>
      <c r="C13" s="54" t="s">
        <v>9</v>
      </c>
      <c r="D13" s="53"/>
      <c r="E13" s="54"/>
      <c r="F13" s="54"/>
      <c r="G13" s="54"/>
      <c r="H13" s="54"/>
      <c r="I13" s="54"/>
      <c r="J13" s="52"/>
    </row>
    <row r="14" spans="2:10" x14ac:dyDescent="0.35">
      <c r="B14" s="50"/>
      <c r="C14" s="54"/>
      <c r="D14" s="128" t="str">
        <f>"Perihal :   PENGAJUAN ASURANSI JIWA "&amp;IF('Spek Produk'!F9="Konvensional","KREDIT","PEMBIAYAAN")</f>
        <v>Perihal :   PENGAJUAN ASURANSI JIWA KREDIT</v>
      </c>
      <c r="E14" s="128"/>
      <c r="F14" s="128"/>
      <c r="G14" s="128"/>
      <c r="H14" s="55"/>
      <c r="I14" s="54"/>
      <c r="J14" s="52"/>
    </row>
    <row r="15" spans="2:10" ht="12" customHeight="1" x14ac:dyDescent="0.35">
      <c r="B15" s="50"/>
      <c r="D15" s="128"/>
      <c r="E15" s="128"/>
      <c r="F15" s="128"/>
      <c r="G15" s="128"/>
      <c r="H15" s="55"/>
      <c r="I15" s="54"/>
      <c r="J15" s="56"/>
    </row>
    <row r="16" spans="2:10" ht="12" customHeight="1" x14ac:dyDescent="0.35">
      <c r="B16" s="50"/>
      <c r="C16" s="54"/>
      <c r="E16" s="54"/>
      <c r="F16" s="54"/>
      <c r="G16" s="54"/>
      <c r="H16" s="54"/>
      <c r="I16" s="54"/>
      <c r="J16" s="56"/>
    </row>
    <row r="17" spans="2:10" x14ac:dyDescent="0.35">
      <c r="B17" s="50"/>
      <c r="C17" s="130" t="str">
        <f>"Sehubungan dengan fasilitas pembiayaan yang akan diberikan kepada debitur "&amp;'Spek Produk'!F7&amp;", dengan ini kami mengajukan penutupan asuransi jiwa "&amp;IF('Spek Produk'!F9="Konvensional","kredit","pembiayaan")&amp;" dengan data sebagai berikut:"</f>
        <v>Sehubungan dengan fasilitas pembiayaan yang akan diberikan kepada debitur BPR Binarta Luhur, dengan ini kami mengajukan penutupan asuransi jiwa kredit dengan data sebagai berikut:</v>
      </c>
      <c r="D17" s="130"/>
      <c r="E17" s="130"/>
      <c r="F17" s="130"/>
      <c r="G17" s="130"/>
      <c r="H17" s="130"/>
      <c r="I17" s="130"/>
      <c r="J17" s="56"/>
    </row>
    <row r="18" spans="2:10" x14ac:dyDescent="0.35">
      <c r="B18" s="50"/>
      <c r="C18" s="130"/>
      <c r="D18" s="130"/>
      <c r="E18" s="130"/>
      <c r="F18" s="130"/>
      <c r="G18" s="130"/>
      <c r="H18" s="130"/>
      <c r="I18" s="130"/>
      <c r="J18" s="56"/>
    </row>
    <row r="19" spans="2:10" x14ac:dyDescent="0.35">
      <c r="B19" s="50"/>
      <c r="C19" s="51"/>
      <c r="D19" s="57"/>
      <c r="E19" s="57"/>
      <c r="F19" s="57"/>
      <c r="G19" s="57"/>
      <c r="H19" s="57"/>
      <c r="I19" s="57"/>
      <c r="J19" s="56"/>
    </row>
    <row r="20" spans="2:10" ht="11.25" customHeight="1" x14ac:dyDescent="0.35">
      <c r="B20" s="50"/>
      <c r="C20" s="51"/>
      <c r="D20" s="131" t="s">
        <v>10</v>
      </c>
      <c r="E20" s="134" t="s">
        <v>30</v>
      </c>
      <c r="F20" s="134"/>
      <c r="G20" s="134"/>
      <c r="H20" s="134"/>
      <c r="I20" s="51"/>
      <c r="J20" s="56"/>
    </row>
    <row r="21" spans="2:10" ht="15" customHeight="1" x14ac:dyDescent="0.35">
      <c r="B21" s="50"/>
      <c r="C21" s="51"/>
      <c r="D21" s="131"/>
      <c r="E21" s="134"/>
      <c r="F21" s="134"/>
      <c r="G21" s="134"/>
      <c r="H21" s="134"/>
      <c r="I21" s="59"/>
      <c r="J21" s="56"/>
    </row>
    <row r="22" spans="2:10" x14ac:dyDescent="0.35">
      <c r="B22" s="50"/>
      <c r="C22" s="51"/>
      <c r="D22" s="58"/>
      <c r="E22" s="60"/>
      <c r="F22" s="60"/>
      <c r="G22" s="59"/>
      <c r="H22" s="59"/>
      <c r="I22" s="59"/>
      <c r="J22" s="56"/>
    </row>
    <row r="23" spans="2:10" x14ac:dyDescent="0.35">
      <c r="B23" s="50"/>
      <c r="C23" s="51"/>
      <c r="D23" s="131" t="s">
        <v>11</v>
      </c>
      <c r="E23" s="133" t="s">
        <v>13</v>
      </c>
      <c r="F23" s="133"/>
      <c r="G23" s="133"/>
      <c r="H23" s="133"/>
      <c r="I23" s="59"/>
      <c r="J23" s="56"/>
    </row>
    <row r="24" spans="2:10" x14ac:dyDescent="0.35">
      <c r="B24" s="50"/>
      <c r="C24" s="51"/>
      <c r="D24" s="131"/>
      <c r="E24" s="133"/>
      <c r="F24" s="133"/>
      <c r="G24" s="133"/>
      <c r="H24" s="133"/>
      <c r="I24" s="59"/>
      <c r="J24" s="56"/>
    </row>
    <row r="25" spans="2:10" x14ac:dyDescent="0.35">
      <c r="B25" s="50"/>
      <c r="C25" s="51"/>
      <c r="D25" s="58"/>
      <c r="E25" s="60"/>
      <c r="F25" s="60"/>
      <c r="G25" s="59"/>
      <c r="H25" s="59"/>
      <c r="I25" s="59"/>
      <c r="J25" s="56"/>
    </row>
    <row r="26" spans="2:10" ht="18.75" customHeight="1" x14ac:dyDescent="0.35">
      <c r="B26" s="50"/>
      <c r="C26" s="51"/>
      <c r="D26" s="131" t="s">
        <v>12</v>
      </c>
      <c r="E26" s="107" t="s">
        <v>31</v>
      </c>
      <c r="F26" s="107"/>
      <c r="G26" s="107"/>
      <c r="H26" s="107"/>
      <c r="I26" s="59"/>
      <c r="J26" s="56"/>
    </row>
    <row r="27" spans="2:10" ht="19.899999999999999" customHeight="1" x14ac:dyDescent="0.35">
      <c r="B27" s="50"/>
      <c r="C27" s="51"/>
      <c r="D27" s="131"/>
      <c r="E27" s="107"/>
      <c r="F27" s="107"/>
      <c r="G27" s="107"/>
      <c r="H27" s="107"/>
      <c r="I27" s="59"/>
      <c r="J27" s="56"/>
    </row>
    <row r="28" spans="2:10" x14ac:dyDescent="0.35">
      <c r="B28" s="50"/>
      <c r="C28" s="51"/>
      <c r="D28" s="58"/>
      <c r="E28" s="60"/>
      <c r="F28" s="60"/>
      <c r="G28" s="59"/>
      <c r="H28" s="59"/>
      <c r="I28" s="59"/>
      <c r="J28" s="56"/>
    </row>
    <row r="29" spans="2:10" ht="15" customHeight="1" x14ac:dyDescent="0.35">
      <c r="B29" s="50"/>
      <c r="C29" s="51"/>
      <c r="D29" s="131" t="s">
        <v>27</v>
      </c>
      <c r="E29" s="132">
        <v>32874</v>
      </c>
      <c r="F29" s="132"/>
      <c r="G29" s="61">
        <f>INT(YEARFRAC(E29,E32,0)+0.5)</f>
        <v>36</v>
      </c>
      <c r="H29" s="108" t="str">
        <f>"Usia: "&amp;IF(INT(YEARFRAC(E29,E32,0)+0.5)&lt;'Spek Produk'!G11,"Minimum "&amp;'Spek Produk'!G11&amp;" Tahun",IF(INT(YEARFRAC(E29,E32,0)+0.5)&gt;'Spek Produk'!I11,"Maksimum "&amp;'Spek Produk'!I11&amp;" Tahun",INT(YEARFRAC(E29,E32,0)+0.5)&amp;" tahun"))</f>
        <v>Usia: 36 tahun</v>
      </c>
      <c r="I29" s="108"/>
      <c r="J29" s="62"/>
    </row>
    <row r="30" spans="2:10" ht="15" customHeight="1" x14ac:dyDescent="0.35">
      <c r="B30" s="50"/>
      <c r="C30" s="51"/>
      <c r="D30" s="131"/>
      <c r="E30" s="132"/>
      <c r="F30" s="132"/>
      <c r="H30" s="108"/>
      <c r="I30" s="108"/>
      <c r="J30" s="62"/>
    </row>
    <row r="31" spans="2:10" x14ac:dyDescent="0.35">
      <c r="B31" s="50"/>
      <c r="C31" s="51"/>
      <c r="D31" s="63"/>
      <c r="E31" s="64"/>
      <c r="F31" s="64"/>
      <c r="G31" s="51"/>
      <c r="H31" s="51"/>
      <c r="I31" s="51"/>
      <c r="J31" s="56"/>
    </row>
    <row r="32" spans="2:10" x14ac:dyDescent="0.35">
      <c r="B32" s="50"/>
      <c r="C32" s="51"/>
      <c r="D32" s="131" t="str">
        <f>"Tanggal Mulai "&amp;IF('Spek Produk'!F9="Konvensional","Kredit","Pembiayaan")&amp;"*"</f>
        <v>Tanggal Mulai Kredit*</v>
      </c>
      <c r="E32" s="132">
        <v>46174</v>
      </c>
      <c r="F32" s="132"/>
      <c r="G32" s="51"/>
      <c r="H32" s="51"/>
      <c r="I32" s="51"/>
      <c r="J32" s="56"/>
    </row>
    <row r="33" spans="2:13" x14ac:dyDescent="0.35">
      <c r="B33" s="50"/>
      <c r="C33" s="51"/>
      <c r="D33" s="131"/>
      <c r="E33" s="132"/>
      <c r="F33" s="132"/>
      <c r="G33" s="51"/>
      <c r="H33" s="51"/>
      <c r="I33" s="51"/>
      <c r="J33" s="56"/>
    </row>
    <row r="34" spans="2:13" x14ac:dyDescent="0.35">
      <c r="B34" s="50"/>
      <c r="C34" s="51"/>
      <c r="D34" s="63"/>
      <c r="E34" s="51"/>
      <c r="F34" s="51"/>
      <c r="G34" s="51"/>
      <c r="H34" s="51"/>
      <c r="I34" s="51"/>
      <c r="J34" s="56"/>
    </row>
    <row r="35" spans="2:13" ht="18.75" customHeight="1" x14ac:dyDescent="0.35">
      <c r="B35" s="50"/>
      <c r="C35" s="51"/>
      <c r="D35" s="131" t="s">
        <v>28</v>
      </c>
      <c r="E35" s="129">
        <v>5</v>
      </c>
      <c r="F35" s="129"/>
      <c r="G35" s="51" t="s">
        <v>1</v>
      </c>
      <c r="H35" s="118" t="str">
        <f>IF(E35*12+E36&gt;'Spek Produk'!I10*12,"Masa Asuransi: Maksimum "&amp;'Spek Produk'!I10&amp;" tahun",IF(INT(YEARFRAC(E29,E32,0)+0.5)+E35+E36/12&gt;'Spek Produk'!H12,"Maksimum masa asuransi untuk nasabah berusia "&amp;INT(YEARFRAC(E29,E32,0)+0.5)&amp;" tahun adalah "&amp;MAX(0,'Spek Produk'!H12-INT(YEARFRAC(E29,E32,0)+0.5))&amp;" tahun",""))</f>
        <v/>
      </c>
      <c r="I35" s="118"/>
      <c r="J35" s="56"/>
    </row>
    <row r="36" spans="2:13" ht="18.75" customHeight="1" x14ac:dyDescent="0.35">
      <c r="B36" s="50"/>
      <c r="C36" s="51"/>
      <c r="D36" s="131"/>
      <c r="E36" s="129">
        <v>0</v>
      </c>
      <c r="F36" s="129"/>
      <c r="G36" s="51" t="s">
        <v>0</v>
      </c>
      <c r="H36" s="118"/>
      <c r="I36" s="118"/>
      <c r="J36" s="56"/>
    </row>
    <row r="37" spans="2:13" x14ac:dyDescent="0.35">
      <c r="B37" s="50"/>
      <c r="C37" s="51"/>
      <c r="D37" s="51"/>
      <c r="E37" s="51"/>
      <c r="F37" s="51"/>
      <c r="G37" s="51"/>
      <c r="H37" s="51"/>
      <c r="I37" s="51"/>
      <c r="J37" s="56"/>
    </row>
    <row r="38" spans="2:13" x14ac:dyDescent="0.35">
      <c r="B38" s="50"/>
      <c r="C38" s="51"/>
      <c r="D38" s="113" t="str">
        <f>IF('Spek Produk'!F9="Konvensional","Jenis Uang Pertanggungan*","Jenis Santunan Asuransi*")</f>
        <v>Jenis Uang Pertanggungan*</v>
      </c>
      <c r="E38" s="112" t="s">
        <v>93</v>
      </c>
      <c r="F38" s="112"/>
      <c r="G38" s="51"/>
      <c r="H38" s="51"/>
      <c r="I38" s="51"/>
      <c r="J38" s="56"/>
    </row>
    <row r="39" spans="2:13" x14ac:dyDescent="0.35">
      <c r="B39" s="50"/>
      <c r="C39" s="51"/>
      <c r="D39" s="113"/>
      <c r="E39" s="112"/>
      <c r="F39" s="112"/>
      <c r="G39" s="51"/>
      <c r="H39" s="51"/>
      <c r="I39" s="51"/>
      <c r="J39" s="56"/>
    </row>
    <row r="40" spans="2:13" x14ac:dyDescent="0.35">
      <c r="B40" s="50"/>
      <c r="C40" s="51"/>
      <c r="D40" s="51"/>
      <c r="E40" s="51"/>
      <c r="F40" s="51"/>
      <c r="G40" s="51"/>
      <c r="H40" s="51"/>
      <c r="I40" s="51"/>
      <c r="J40" s="56"/>
    </row>
    <row r="41" spans="2:13" ht="15.65" customHeight="1" x14ac:dyDescent="0.35">
      <c r="B41" s="50"/>
      <c r="C41" s="51"/>
      <c r="D41" s="113" t="str">
        <f>IF('Spek Produk'!F9="Konvensional","Uang Pertanggungan*","Santunan Asuransi*")</f>
        <v>Uang Pertanggungan*</v>
      </c>
      <c r="E41" s="112">
        <v>100000000</v>
      </c>
      <c r="F41" s="112"/>
      <c r="H41" s="117" t="str">
        <f>IF(E41&gt;'Spek Produk'!F8,"UP: Maksimum IDR "&amp;TEXT('Spek Produk'!F8,"000,000"),"")</f>
        <v/>
      </c>
      <c r="I41" s="117"/>
      <c r="J41" s="65"/>
    </row>
    <row r="42" spans="2:13" x14ac:dyDescent="0.35">
      <c r="B42" s="50"/>
      <c r="C42" s="51"/>
      <c r="D42" s="113"/>
      <c r="E42" s="112"/>
      <c r="F42" s="112"/>
      <c r="G42" s="66"/>
      <c r="H42" s="117"/>
      <c r="I42" s="117"/>
      <c r="J42" s="65"/>
    </row>
    <row r="43" spans="2:13" x14ac:dyDescent="0.35">
      <c r="B43" s="50"/>
      <c r="C43" s="51"/>
      <c r="D43" s="63"/>
      <c r="E43" s="51"/>
      <c r="F43" s="51"/>
      <c r="G43" s="51"/>
      <c r="H43" s="51"/>
      <c r="I43" s="51"/>
      <c r="J43" s="56"/>
    </row>
    <row r="44" spans="2:13" ht="18.75" customHeight="1" x14ac:dyDescent="0.35">
      <c r="B44" s="50"/>
      <c r="C44" s="51"/>
      <c r="D44" s="63" t="s">
        <v>3</v>
      </c>
      <c r="E44" s="110">
        <v>0</v>
      </c>
      <c r="F44" s="110"/>
      <c r="G44" s="51" t="s">
        <v>4</v>
      </c>
      <c r="H44" s="51"/>
      <c r="I44" s="51"/>
      <c r="J44" s="56"/>
    </row>
    <row r="45" spans="2:13" ht="18.75" customHeight="1" x14ac:dyDescent="0.35">
      <c r="B45" s="50"/>
      <c r="C45" s="51"/>
      <c r="D45" s="63"/>
      <c r="E45" s="67"/>
      <c r="F45" s="67"/>
      <c r="G45" s="51"/>
      <c r="H45" s="51"/>
      <c r="I45" s="51"/>
      <c r="J45" s="56"/>
      <c r="L45" s="68"/>
    </row>
    <row r="46" spans="2:13" ht="18.75" customHeight="1" x14ac:dyDescent="0.35">
      <c r="B46" s="50"/>
      <c r="C46" s="51"/>
      <c r="D46" s="63" t="s">
        <v>29</v>
      </c>
      <c r="E46" s="67"/>
      <c r="F46" s="67"/>
      <c r="G46" s="51"/>
      <c r="H46" s="51"/>
      <c r="I46" s="51"/>
      <c r="J46" s="56"/>
    </row>
    <row r="47" spans="2:13" ht="18.75" customHeight="1" x14ac:dyDescent="0.35">
      <c r="B47" s="50"/>
      <c r="C47" s="51"/>
      <c r="D47" s="64"/>
      <c r="E47" s="69"/>
      <c r="F47" s="69"/>
      <c r="G47" s="51"/>
      <c r="H47" s="51"/>
      <c r="I47" s="51"/>
      <c r="J47" s="56"/>
    </row>
    <row r="48" spans="2:13" ht="18.75" customHeight="1" x14ac:dyDescent="0.35">
      <c r="B48" s="50"/>
      <c r="C48" s="51"/>
      <c r="D48" s="51" t="str">
        <f>IF('Spek Produk'!F9="Konvensional","Premi Sekaligus","Kontribusi Sekaligus")</f>
        <v>Premi Sekaligus</v>
      </c>
      <c r="E48" s="114">
        <f>IF(E35*12+E36&gt;'Spek Produk'!$I$10*12,"Perhatikan Ketentuan Masa Asuransi",IFERROR(ROUND(IF(E35*12+E36&lt;12,VLOOKUP(E35*12+E36,Faktor_Multiplier,2,FALSE)*VLOOKUP(G29,Premium_Table,2,FALSE),VLOOKUP(G29,Premium_Table,E35+1,FALSE)+IFERROR((VLOOKUP(G29,Premium_Table,E35+2,FALSE)-VLOOKUP(G29,Premium_Table,E35+1,FALSE))*E36/12,0)),2)*E41/1000,"Perhatikan Ketentuan Usia + Masa Asuransi"))</f>
        <v>2915000</v>
      </c>
      <c r="F48" s="114"/>
      <c r="G48" s="51"/>
      <c r="H48" s="51"/>
      <c r="I48" s="51"/>
      <c r="J48" s="56"/>
      <c r="M48" s="70"/>
    </row>
    <row r="49" spans="2:10" ht="18.75" customHeight="1" x14ac:dyDescent="0.35">
      <c r="B49" s="50"/>
      <c r="C49" s="51"/>
      <c r="D49" s="51" t="str">
        <f>IF('Spek Produk'!F9="Konvensional","Extra Premi","Extra Kontribusi")</f>
        <v>Extra Premi</v>
      </c>
      <c r="E49" s="115">
        <f>IFERROR(IF(G29+$E$35+(E36/12)&gt;70,"",ROUND($E$41/1000*$E$44,2)),"-")</f>
        <v>0</v>
      </c>
      <c r="F49" s="115"/>
      <c r="G49" s="51"/>
      <c r="H49" s="51"/>
      <c r="I49" s="51"/>
      <c r="J49" s="56"/>
    </row>
    <row r="50" spans="2:10" ht="18.75" customHeight="1" x14ac:dyDescent="0.35">
      <c r="B50" s="50"/>
      <c r="C50" s="51"/>
      <c r="D50" s="51" t="s">
        <v>2</v>
      </c>
      <c r="E50" s="116">
        <v>0</v>
      </c>
      <c r="F50" s="116"/>
      <c r="G50" s="51"/>
      <c r="H50" s="51"/>
      <c r="I50" s="51"/>
      <c r="J50" s="56"/>
    </row>
    <row r="51" spans="2:10" ht="18.75" customHeight="1" x14ac:dyDescent="0.35">
      <c r="B51" s="50"/>
      <c r="C51" s="51"/>
      <c r="D51" s="71" t="s">
        <v>5</v>
      </c>
      <c r="E51" s="114">
        <f>IF(E35*12+E36&gt;'Spek Produk'!$I$10*12,"Perhatikan Ketentuan Masa Asuransi",SUM(E48:F50))</f>
        <v>2915000</v>
      </c>
      <c r="F51" s="114"/>
      <c r="G51" s="51"/>
      <c r="H51" s="51"/>
      <c r="I51" s="51"/>
      <c r="J51" s="56"/>
    </row>
    <row r="52" spans="2:10" ht="18.75" customHeight="1" x14ac:dyDescent="0.35">
      <c r="B52" s="50"/>
      <c r="C52" s="51"/>
      <c r="D52" s="51"/>
      <c r="E52" s="72"/>
      <c r="F52" s="72"/>
      <c r="G52" s="51"/>
      <c r="H52" s="51"/>
      <c r="I52" s="51"/>
      <c r="J52" s="56"/>
    </row>
    <row r="53" spans="2:10" ht="18.75" customHeight="1" x14ac:dyDescent="0.35">
      <c r="B53" s="50"/>
      <c r="C53" s="51"/>
      <c r="G53" s="51"/>
      <c r="H53" s="51"/>
      <c r="I53" s="51"/>
      <c r="J53" s="56"/>
    </row>
    <row r="54" spans="2:10" ht="18.75" customHeight="1" x14ac:dyDescent="0.35">
      <c r="B54" s="50"/>
      <c r="C54" s="51" t="s">
        <v>14</v>
      </c>
      <c r="D54" s="93" t="str">
        <f>IF(H35&lt;&gt;"","Perhatikan Ketentuan Usia + Masa Asuransi",IFERROR(VLOOKUP(VALUE(MID($H$29,7,2)),Medic!$A$2:$L$8,MATCH($E$41,Medic!$B$2:$L$2,1)+1,TRUE),"-"))</f>
        <v>AA</v>
      </c>
      <c r="F54" s="51"/>
      <c r="G54" s="51"/>
      <c r="H54" s="51"/>
      <c r="I54" s="51"/>
      <c r="J54" s="56"/>
    </row>
    <row r="55" spans="2:10" ht="18.75" customHeight="1" x14ac:dyDescent="0.35">
      <c r="B55" s="50"/>
      <c r="C55" s="111" t="str">
        <f>IFERROR(VLOOKUP(D54,Medic!$R$3:$AP$10,3,FALSE),"-")</f>
        <v>Automatic Acceptance dimana Peserta harus dalam keadaan sehat dan atau tidak sedang dalam pengobatan atau perawatan, tidak pernah menderita gejala penyakit dan didiagnosa suatu penyakit, tidak dalam pengobatan atau perawatan karena suatu penyakit, pada saat mulai Asuransi.
Jika persyaratan tersebut diatas tidak terpenuhi maka klaim dapat ditolak.</v>
      </c>
      <c r="D55" s="111"/>
      <c r="E55" s="111"/>
      <c r="F55" s="111"/>
      <c r="G55" s="111"/>
      <c r="H55" s="111"/>
      <c r="I55" s="111"/>
      <c r="J55" s="56"/>
    </row>
    <row r="56" spans="2:10" ht="18.75" customHeight="1" x14ac:dyDescent="0.35">
      <c r="B56" s="50"/>
      <c r="C56" s="111"/>
      <c r="D56" s="111"/>
      <c r="E56" s="111"/>
      <c r="F56" s="111"/>
      <c r="G56" s="111"/>
      <c r="H56" s="111"/>
      <c r="I56" s="111"/>
      <c r="J56" s="56"/>
    </row>
    <row r="57" spans="2:10" ht="18.75" customHeight="1" x14ac:dyDescent="0.35">
      <c r="B57" s="50"/>
      <c r="C57" s="111"/>
      <c r="D57" s="111"/>
      <c r="E57" s="111"/>
      <c r="F57" s="111"/>
      <c r="G57" s="111"/>
      <c r="H57" s="111"/>
      <c r="I57" s="111"/>
      <c r="J57" s="56"/>
    </row>
    <row r="58" spans="2:10" ht="18.75" customHeight="1" x14ac:dyDescent="0.35">
      <c r="B58" s="50"/>
      <c r="C58" s="111"/>
      <c r="D58" s="111"/>
      <c r="E58" s="111"/>
      <c r="F58" s="111"/>
      <c r="G58" s="111"/>
      <c r="H58" s="111"/>
      <c r="I58" s="111"/>
      <c r="J58" s="56"/>
    </row>
    <row r="59" spans="2:10" ht="18.75" customHeight="1" x14ac:dyDescent="0.35">
      <c r="B59" s="50"/>
      <c r="C59" s="51"/>
      <c r="D59" s="53"/>
      <c r="E59" s="53"/>
      <c r="F59" s="51"/>
      <c r="G59" s="51"/>
      <c r="H59" s="51"/>
      <c r="I59" s="51"/>
      <c r="J59" s="56"/>
    </row>
    <row r="60" spans="2:10" ht="18.75" customHeight="1" x14ac:dyDescent="0.35">
      <c r="B60" s="50"/>
      <c r="C60" s="53" t="s">
        <v>15</v>
      </c>
      <c r="D60" s="53"/>
      <c r="F60" s="51"/>
      <c r="G60" s="51"/>
      <c r="H60" s="51"/>
      <c r="I60" s="51"/>
      <c r="J60" s="56"/>
    </row>
    <row r="61" spans="2:10" ht="18.75" customHeight="1" x14ac:dyDescent="0.35">
      <c r="B61" s="50"/>
      <c r="C61" s="49" t="str">
        <f>'Spek Produk'!F7</f>
        <v>BPR Binarta Luhur</v>
      </c>
      <c r="D61" s="53"/>
      <c r="E61" s="53"/>
      <c r="F61" s="51"/>
      <c r="G61" s="51"/>
      <c r="H61" s="51"/>
      <c r="I61" s="51"/>
      <c r="J61" s="56"/>
    </row>
    <row r="62" spans="2:10" ht="18.75" customHeight="1" x14ac:dyDescent="0.35">
      <c r="B62" s="50"/>
      <c r="C62" s="53"/>
      <c r="D62" s="53"/>
      <c r="E62" s="53"/>
      <c r="F62" s="51"/>
      <c r="G62" s="51"/>
      <c r="H62" s="51"/>
      <c r="I62" s="51"/>
      <c r="J62" s="56"/>
    </row>
    <row r="63" spans="2:10" ht="18.75" customHeight="1" x14ac:dyDescent="0.35">
      <c r="B63" s="50"/>
      <c r="C63" s="53"/>
      <c r="D63" s="53"/>
      <c r="E63" s="53"/>
      <c r="F63" s="51"/>
      <c r="G63" s="51"/>
      <c r="H63" s="51"/>
      <c r="I63" s="51"/>
      <c r="J63" s="56"/>
    </row>
    <row r="64" spans="2:10" ht="18.75" customHeight="1" x14ac:dyDescent="0.35">
      <c r="B64" s="50"/>
      <c r="C64" s="53" t="s">
        <v>16</v>
      </c>
      <c r="D64" s="73">
        <f ca="1">NOW()</f>
        <v>46307.703327083334</v>
      </c>
      <c r="E64" s="53"/>
      <c r="F64" s="51"/>
      <c r="G64" s="51"/>
      <c r="H64" s="51"/>
      <c r="I64" s="51"/>
      <c r="J64" s="56"/>
    </row>
    <row r="65" spans="2:10" ht="18.75" customHeight="1" x14ac:dyDescent="0.35">
      <c r="B65" s="50"/>
      <c r="C65" s="51"/>
      <c r="D65" s="53"/>
      <c r="E65" s="53"/>
      <c r="F65" s="51"/>
      <c r="G65" s="51"/>
      <c r="H65" s="51"/>
      <c r="I65" s="51"/>
      <c r="J65" s="56"/>
    </row>
    <row r="66" spans="2:10" x14ac:dyDescent="0.35">
      <c r="B66" s="50"/>
      <c r="C66" s="51"/>
      <c r="D66" s="51"/>
      <c r="E66" s="109"/>
      <c r="F66" s="109"/>
      <c r="G66" s="51"/>
      <c r="H66" s="51"/>
      <c r="I66" s="51"/>
      <c r="J66" s="56"/>
    </row>
    <row r="67" spans="2:10" x14ac:dyDescent="0.35">
      <c r="B67" s="122"/>
      <c r="C67" s="123"/>
      <c r="D67" s="123"/>
      <c r="E67" s="123"/>
      <c r="F67" s="123"/>
      <c r="G67" s="123"/>
      <c r="H67" s="123"/>
      <c r="I67" s="123"/>
      <c r="J67" s="124"/>
    </row>
    <row r="68" spans="2:10" ht="16" thickBot="1" x14ac:dyDescent="0.4">
      <c r="B68" s="125"/>
      <c r="C68" s="126"/>
      <c r="D68" s="126"/>
      <c r="E68" s="126"/>
      <c r="F68" s="126"/>
      <c r="G68" s="126"/>
      <c r="H68" s="126"/>
      <c r="I68" s="126"/>
      <c r="J68" s="127"/>
    </row>
    <row r="69" spans="2:10" ht="16" thickTop="1" x14ac:dyDescent="0.35"/>
  </sheetData>
  <sheetProtection algorithmName="SHA-512" hashValue="mfoSmX21EFEo4q1zunqEFa9MWnc3G767l9KQfcMQi+Ql50M0APhBn6RdYxMV6i5kHlmQlm6U5q7LG82mNNm1Ag==" saltValue="1AcFBi+jq+3Y/czJN1Vu8w==" spinCount="100000" sheet="1" objects="1" scenarios="1"/>
  <dataConsolidate/>
  <mergeCells count="31">
    <mergeCell ref="B4:J5"/>
    <mergeCell ref="B67:J68"/>
    <mergeCell ref="D14:G15"/>
    <mergeCell ref="E36:F36"/>
    <mergeCell ref="C17:I18"/>
    <mergeCell ref="D20:D21"/>
    <mergeCell ref="D23:D24"/>
    <mergeCell ref="D26:D27"/>
    <mergeCell ref="E29:F30"/>
    <mergeCell ref="D29:D30"/>
    <mergeCell ref="E32:F33"/>
    <mergeCell ref="D35:D36"/>
    <mergeCell ref="D32:D33"/>
    <mergeCell ref="E35:F35"/>
    <mergeCell ref="E23:H24"/>
    <mergeCell ref="E20:H21"/>
    <mergeCell ref="E26:H27"/>
    <mergeCell ref="H29:I30"/>
    <mergeCell ref="E66:F66"/>
    <mergeCell ref="E44:F44"/>
    <mergeCell ref="C55:I58"/>
    <mergeCell ref="E41:F42"/>
    <mergeCell ref="D41:D42"/>
    <mergeCell ref="E48:F48"/>
    <mergeCell ref="E49:F49"/>
    <mergeCell ref="E51:F51"/>
    <mergeCell ref="E50:F50"/>
    <mergeCell ref="H41:I42"/>
    <mergeCell ref="D38:D39"/>
    <mergeCell ref="E38:F39"/>
    <mergeCell ref="H35:I36"/>
  </mergeCells>
  <phoneticPr fontId="2" type="noConversion"/>
  <dataValidations count="1">
    <dataValidation type="list" allowBlank="1" showInputMessage="1" showErrorMessage="1" sqref="E23" xr:uid="{00000000-0002-0000-0100-000002000000}">
      <formula1>"Laki-Laki, Perempuan"</formula1>
    </dataValidation>
  </dataValidations>
  <printOptions horizontalCentered="1"/>
  <pageMargins left="0.25" right="0.25" top="1" bottom="1" header="0.5" footer="0.5"/>
  <pageSetup paperSize="9" scale="64" orientation="portrait" r:id="rId1"/>
  <headerFooter alignWithMargins="0"/>
  <ignoredErrors>
    <ignoredError sqref="E50:F50 D64 F48 F49 E52:F52 F51"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1" id="{17A1B284-E749-4DA5-9656-42EAAC1F2EF1}">
            <xm:f>OR(INT(YEARFRAC(E29,E32,0)+0.5)&lt;'Spek Produk'!G11,INT(YEARFRAC(E29,E32,0)+0.5)&gt;'Spek Produk'!I11)</xm:f>
            <x14:dxf>
              <font>
                <color rgb="FFFF0000"/>
              </font>
            </x14:dxf>
          </x14:cfRule>
          <xm:sqref>H29:I30</xm:sqref>
        </x14:conditionalFormatting>
      </x14:conditionalFormattings>
    </ext>
    <ext xmlns:x14="http://schemas.microsoft.com/office/spreadsheetml/2009/9/main" uri="{CCE6A557-97BC-4b89-ADB6-D9C93CAAB3DF}">
      <x14:dataValidations xmlns:xm="http://schemas.microsoft.com/office/excel/2006/main" count="5">
        <x14:dataValidation type="list" operator="lessThanOrEqual" allowBlank="1" showInputMessage="1" showErrorMessage="1" errorTitle="Uang Pertanggungan" error="Uang Pertanggungan tidak sesuai dengan spesifikasi produk Asuransi!" xr:uid="{196D11C4-D709-499E-B08D-905BF8D96589}">
          <x14:formula1>
            <xm:f>IF(OR('Spek Produk'!$AT$39="",'Spek Produk'!$AT$40=""),'Spek Produk'!$AU$39,'Spek Produk'!$AT$39:$AT$40)</xm:f>
          </x14:formula1>
          <xm:sqref>E38:F39</xm:sqref>
        </x14:dataValidation>
        <x14:dataValidation type="list" allowBlank="1" showInputMessage="1" showErrorMessage="1" errorTitle="Masa Asuransi" error="Masa Asuransi yang dipilih tidak sesuai dengan spesifikasi produk Asuransi!_x000a_" xr:uid="{00000000-0002-0000-0100-000001000000}">
          <x14:formula1>
            <xm:f>IF(OR($G$29+$E$35&gt;='Spek Produk'!$H$12,$E$35&gt;='Spek Produk'!$I$10),'Spek Produk'!$AR$25,'Spek Produk'!$AR$25:$AR$36)</xm:f>
          </x14:formula1>
          <xm:sqref>E36:F36</xm:sqref>
        </x14:dataValidation>
        <x14:dataValidation type="whole" operator="lessThanOrEqual" allowBlank="1" showInputMessage="1" showErrorMessage="1" errorTitle="Uang Pertanggungan" error="Uang Pertanggungan yang dipilih tidak sesuai dengan spesifikasi produk Asuransi!" xr:uid="{8978F6CA-15E5-446B-8F2D-18758F90E49F}">
          <x14:formula1>
            <xm:f>'Spek Produk'!F8</xm:f>
          </x14:formula1>
          <xm:sqref>E41:F42</xm:sqref>
        </x14:dataValidation>
        <x14:dataValidation type="whole" allowBlank="1" showInputMessage="1" showErrorMessage="1" errorTitle="Masa Asuransi" error="Masa Asuransi yang dipilih tidak sesuai dengan spesifikasi produk Asuransi!_x000a_" xr:uid="{00000000-0002-0000-0100-000000000000}">
          <x14:formula1>
            <xm:f>'Spek Produk'!G10</xm:f>
          </x14:formula1>
          <x14:formula2>
            <xm:f>MIN('Spek Produk'!H12-G29,'Spek Produk'!I10)</xm:f>
          </x14:formula2>
          <xm:sqref>E35:F35</xm:sqref>
        </x14:dataValidation>
        <x14:dataValidation type="custom" allowBlank="1" showInputMessage="1" showErrorMessage="1" errorTitle="Usia Masuk Peserta" error="Usia masuk peserta tidak sesuai dengan spesifikasi produk asuransi!" xr:uid="{D9D78852-B39B-4E14-9E8C-E09146550723}">
          <x14:formula1>
            <xm:f>AND(G29&gt;='Spek Produk'!G11,G29&lt;='Spek Produk'!I11)</xm:f>
          </x14:formula1>
          <xm:sqref>E29:F30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0FE640-C08A-468D-9C40-7FC8602B5949}">
  <sheetPr codeName="Sheet5">
    <tabColor rgb="FF0070C0"/>
  </sheetPr>
  <dimension ref="A1:W57"/>
  <sheetViews>
    <sheetView showGridLines="0" zoomScaleNormal="100" workbookViewId="0">
      <pane xSplit="2" ySplit="5" topLeftCell="Q6" activePane="bottomRight" state="frozen"/>
      <selection pane="topRight" activeCell="C1" sqref="C1"/>
      <selection pane="bottomLeft" activeCell="A6" sqref="A6"/>
      <selection pane="bottomRight"/>
    </sheetView>
  </sheetViews>
  <sheetFormatPr defaultColWidth="8.7265625" defaultRowHeight="14.5" x14ac:dyDescent="0.35"/>
  <cols>
    <col min="1" max="1" width="7.453125" style="31" customWidth="1"/>
    <col min="2" max="2" width="33.26953125" style="47" customWidth="1"/>
    <col min="3" max="3" width="18.7265625" style="32" customWidth="1"/>
    <col min="4" max="4" width="53.453125" style="47" customWidth="1"/>
    <col min="5" max="5" width="25.26953125" style="31" customWidth="1"/>
    <col min="6" max="7" width="18.7265625" style="31" customWidth="1"/>
    <col min="8" max="8" width="25.26953125" style="31" customWidth="1"/>
    <col min="9" max="9" width="25.26953125" style="74" customWidth="1"/>
    <col min="10" max="10" width="25.26953125" style="31" customWidth="1"/>
    <col min="11" max="12" width="8.7265625" style="47"/>
    <col min="13" max="13" width="21.26953125" style="31" customWidth="1"/>
    <col min="14" max="14" width="21.26953125" style="88" customWidth="1"/>
    <col min="15" max="15" width="3.7265625" style="76" customWidth="1"/>
    <col min="16" max="16" width="21.26953125" style="31" customWidth="1"/>
    <col min="17" max="21" width="21.26953125" style="47" customWidth="1"/>
    <col min="22" max="22" width="8.7265625" style="77"/>
    <col min="23" max="16384" width="8.7265625" style="76"/>
  </cols>
  <sheetData>
    <row r="1" spans="1:23" ht="18" customHeight="1" x14ac:dyDescent="0.35">
      <c r="A1" s="32" t="str">
        <f>'Spek Produk'!F7</f>
        <v>BPR Binarta Luhur</v>
      </c>
      <c r="B1" s="32"/>
      <c r="D1" s="32"/>
      <c r="K1" s="32"/>
      <c r="L1" s="32"/>
      <c r="N1" s="75"/>
      <c r="Q1" s="32"/>
      <c r="R1" s="32"/>
      <c r="S1" s="32"/>
      <c r="T1" s="32"/>
      <c r="U1" s="32"/>
    </row>
    <row r="2" spans="1:23" ht="18" customHeight="1" x14ac:dyDescent="0.35">
      <c r="A2" s="32"/>
      <c r="B2" s="32"/>
      <c r="D2" s="32"/>
      <c r="I2" s="78"/>
      <c r="K2" s="32"/>
      <c r="L2" s="32"/>
      <c r="N2" s="75"/>
      <c r="P2" s="48" t="str">
        <f>IF(COUNTIF(V6:V55,"&lt;&gt;"&amp;" ")&gt;0,"Terdapat peserta dengan usia / UP / masa asuransi yang tidak sesuai dengan fitur produk. Mohon cek kembali!","")</f>
        <v/>
      </c>
      <c r="R2" s="32"/>
      <c r="S2" s="32"/>
      <c r="T2" s="32"/>
      <c r="U2" s="32"/>
    </row>
    <row r="3" spans="1:23" ht="18" customHeight="1" x14ac:dyDescent="0.35">
      <c r="A3" s="32"/>
      <c r="B3" s="32"/>
      <c r="D3" s="32"/>
      <c r="K3" s="32"/>
      <c r="L3" s="32"/>
      <c r="N3" s="79"/>
      <c r="Q3" s="31"/>
      <c r="R3" s="31"/>
      <c r="S3" s="31"/>
      <c r="T3" s="31"/>
      <c r="U3" s="31"/>
    </row>
    <row r="4" spans="1:23" ht="18" customHeight="1" x14ac:dyDescent="0.35">
      <c r="A4" s="149" t="s">
        <v>60</v>
      </c>
      <c r="B4" s="150" t="s">
        <v>109</v>
      </c>
      <c r="C4" s="151" t="s">
        <v>61</v>
      </c>
      <c r="D4" s="149" t="s">
        <v>12</v>
      </c>
      <c r="E4" s="149" t="s">
        <v>62</v>
      </c>
      <c r="F4" s="149" t="s">
        <v>63</v>
      </c>
      <c r="G4" s="149" t="s">
        <v>11</v>
      </c>
      <c r="H4" s="149" t="s">
        <v>64</v>
      </c>
      <c r="I4" s="153" t="s">
        <v>65</v>
      </c>
      <c r="J4" s="153" t="s">
        <v>66</v>
      </c>
      <c r="K4" s="149" t="s">
        <v>67</v>
      </c>
      <c r="L4" s="149"/>
      <c r="M4" s="148" t="str">
        <f>"Plan "&amp;N4</f>
        <v>Plan Uang Pertanggungan</v>
      </c>
      <c r="N4" s="157" t="str">
        <f>IF('Spek Produk'!F9="Konvensional","Uang Pertanggungan","Santunan Asuransi")</f>
        <v>Uang Pertanggungan</v>
      </c>
      <c r="P4" s="158" t="s">
        <v>68</v>
      </c>
      <c r="Q4" s="158" t="s">
        <v>110</v>
      </c>
      <c r="R4" s="158" t="s">
        <v>69</v>
      </c>
      <c r="S4" s="159" t="str">
        <f>IF('Spek Produk'!F9="Konvensional","Premi Gross","Kontribusi Gross")</f>
        <v>Premi Gross</v>
      </c>
      <c r="T4" s="155" t="str">
        <f>IF('Spek Produk'!F9="Konvensional","Ekstra Premi","Ekstra Kontribusi")</f>
        <v>Ekstra Premi</v>
      </c>
      <c r="U4" s="155" t="str">
        <f>IF('Spek Produk'!F9="Konvensional","Total Premi","Total Kontribusi")</f>
        <v>Total Premi</v>
      </c>
    </row>
    <row r="5" spans="1:23" ht="18" customHeight="1" x14ac:dyDescent="0.35">
      <c r="A5" s="149"/>
      <c r="B5" s="148"/>
      <c r="C5" s="152"/>
      <c r="D5" s="149"/>
      <c r="E5" s="149"/>
      <c r="F5" s="149"/>
      <c r="G5" s="149"/>
      <c r="H5" s="149"/>
      <c r="I5" s="154"/>
      <c r="J5" s="154"/>
      <c r="K5" s="80" t="s">
        <v>1</v>
      </c>
      <c r="L5" s="80" t="s">
        <v>0</v>
      </c>
      <c r="M5" s="148"/>
      <c r="N5" s="157"/>
      <c r="P5" s="158"/>
      <c r="Q5" s="158"/>
      <c r="R5" s="158"/>
      <c r="S5" s="159"/>
      <c r="T5" s="156"/>
      <c r="U5" s="156"/>
    </row>
    <row r="6" spans="1:23" x14ac:dyDescent="0.35">
      <c r="A6" s="43">
        <v>1</v>
      </c>
      <c r="B6" s="34" t="s">
        <v>99</v>
      </c>
      <c r="C6" s="35" t="s">
        <v>70</v>
      </c>
      <c r="D6" s="34" t="s">
        <v>71</v>
      </c>
      <c r="E6" s="36" t="s">
        <v>104</v>
      </c>
      <c r="F6" s="33" t="s">
        <v>72</v>
      </c>
      <c r="G6" s="33" t="s">
        <v>73</v>
      </c>
      <c r="H6" s="37" t="s">
        <v>81</v>
      </c>
      <c r="I6" s="89">
        <v>24010</v>
      </c>
      <c r="J6" s="89">
        <v>45992</v>
      </c>
      <c r="K6" s="33">
        <v>2</v>
      </c>
      <c r="L6" s="33">
        <v>11</v>
      </c>
      <c r="M6" s="33" t="s">
        <v>93</v>
      </c>
      <c r="N6" s="38">
        <v>100000000</v>
      </c>
      <c r="P6" s="83">
        <v>0</v>
      </c>
      <c r="Q6" s="39">
        <f>IFERROR(INT(YEARFRAC(I6,J6,0)+0.5),"")</f>
        <v>60</v>
      </c>
      <c r="R6" s="40" t="str">
        <f>IF(V6&lt;&gt;" ",V6,IFERROR(VLOOKUP(Q6,IF('Spek Produk'!$F$9="Syariah",Medic!$A$21:$L$27,Medic!$A$12:$L$18),MATCH(N6,IF('Spek Produk'!$F$9="Syariah",Medic!$B$21:$L$21,Medic!$B$12:$L$12),TRUE)+1),""))</f>
        <v>A</v>
      </c>
      <c r="S6" s="92">
        <f t="shared" ref="S6:S37" si="0">IF(V6&lt;&gt;" ",V6,IF(N6="","",IFERROR(IF(Q6=0,0,ROUND(IF(K6*12+L6&lt;12,VLOOKUP(K6*12+L6,Faktor_Multiplier,2,FALSE)*VLOOKUP(Q6,IF(M6="Menurun",Premium_Table_Dec,Premium_Table_Flat),2,FALSE),VLOOKUP(Q6,IF(M6="Menurun",Premium_Table_Dec,Premium_Table_Flat),K6+1,FALSE)+IFERROR((VLOOKUP(Q6,IF(M6="Menurun",Premium_Table_Dec,Premium_Table_Flat),K6+2,FALSE)-VLOOKUP(Q6,IF(M6="Menurun",Premium_Table_Dec,Premium_Table_Flat),K6+1,FALSE)),0)*L6/12),2)*N6/1000),"Perhatikan Ketentuan Usia + Masa Asuransi")))</f>
        <v>1526000</v>
      </c>
      <c r="T6" s="41">
        <f>IFERROR(IF(V6&lt;&gt;" ",V6,IF(N6="","",ROUND(N6/1000*P6,2))),"Perhatikan Ketentuan Usia + Masa Asuransi")</f>
        <v>0</v>
      </c>
      <c r="U6" s="92">
        <f>IFERROR(IF(V6&lt;&gt;" ",V6,IF(N6="","",S6+T6)),"Perhatikan Ketentuan Usia + Masa Asuransi")</f>
        <v>1526000</v>
      </c>
      <c r="V6" s="77" t="str">
        <f>IF(M6="Menurun",IF(AND(Q6&gt;'Spek Produk'!$I$23,Q6&lt;&gt;""),"Usia masuk lebih besar dari fitur produk",IF(AND(Q6&lt;'Spek Produk'!$G$23,Q6&lt;&gt;0,Q6&lt;&gt;""),"Usia masuk lebih rendah dari fitur produk",IF(N6&gt;'Spek Produk'!$F$20,"UP lebih besar dari fitur produk",IF(K6+L6/12&gt;'Spek Produk'!$I$22,"Masa asuransi lebih besar dari fitur produk",IF(AND(Q6+K6+L6/12&gt;'Spek Produk'!$H$24,Q6&lt;&gt;0,Q6&lt;&gt;""),"Maksimum masa asuransi untuk nasabah berusia "&amp;Q6&amp;" tahun adalah "&amp;MAX(0,'Spek Produk'!$H$24-Q6)&amp;" tahun",IF(AND(0&lt;K6+L6/12,K6+L6/12&lt;'Spek Produk'!$G$22),"Masa asuransi lebih kecil dari fitur produk"," ")))))),IF(AND(Q6&gt;'Spek Produk'!$I$35,Q6&lt;&gt;""),"Usia masuk lebih besar dari fitur produk",IF(AND(Q6&lt;'Spek Produk'!$G$35,Q6&lt;&gt;0,Q6&lt;&gt;""),"Usia masuk lebih rendah dari fitur produk",IF(N6&gt;'Spek Produk'!$F$32,"UP lebih besar dari fitur produk",IF(K6+L6/12&gt;'Spek Produk'!$I$34,"Masa asuransi lebih besar dari fitur produk",IF(AND(Q6+K6+L6/12&gt;'Spek Produk'!$H$36,Q6&lt;&gt;0,Q6&lt;&gt;""),"Maksimum masa asuransi untuk nasabah berusia "&amp;Q6&amp;" tahun adalah "&amp;MAX(0,'Spek Produk'!$H$36-Q6)&amp;" tahun",IF(AND(0&lt;K6+L6/12,K6+L6/12&lt;'Spek Produk'!$G$34),"Masa asuransi lebih Kecil dari fitur produk"," ")))))))</f>
        <v xml:space="preserve"> </v>
      </c>
      <c r="W6" s="77"/>
    </row>
    <row r="7" spans="1:23" x14ac:dyDescent="0.35">
      <c r="A7" s="43">
        <f>+A6+1</f>
        <v>2</v>
      </c>
      <c r="B7" s="34" t="s">
        <v>100</v>
      </c>
      <c r="C7" s="35" t="s">
        <v>70</v>
      </c>
      <c r="D7" s="34" t="s">
        <v>74</v>
      </c>
      <c r="E7" s="36" t="s">
        <v>105</v>
      </c>
      <c r="F7" s="33" t="s">
        <v>72</v>
      </c>
      <c r="G7" s="33" t="s">
        <v>13</v>
      </c>
      <c r="H7" s="37" t="s">
        <v>82</v>
      </c>
      <c r="I7" s="89">
        <v>30152</v>
      </c>
      <c r="J7" s="89">
        <v>45992</v>
      </c>
      <c r="K7" s="33">
        <v>0</v>
      </c>
      <c r="L7" s="33">
        <v>4</v>
      </c>
      <c r="M7" s="33" t="s">
        <v>93</v>
      </c>
      <c r="N7" s="38">
        <v>75000000</v>
      </c>
      <c r="P7" s="83">
        <v>0</v>
      </c>
      <c r="Q7" s="39">
        <f t="shared" ref="Q7:Q55" si="1">IFERROR(INT(YEARFRAC(I7,J7,0)+0.5),"")</f>
        <v>43</v>
      </c>
      <c r="R7" s="40" t="str">
        <f>IF(V7&lt;&gt;" ",V7,IFERROR(VLOOKUP(Q7,IF('Spek Produk'!$F$9="Syariah",Medic!$A$21:$L$27,Medic!$A$12:$L$18),MATCH(N7,IF('Spek Produk'!$F$9="Syariah",Medic!$B$21:$L$21,Medic!$B$12:$L$12),TRUE)+1),""))</f>
        <v>AA</v>
      </c>
      <c r="S7" s="92">
        <f t="shared" si="0"/>
        <v>180750</v>
      </c>
      <c r="T7" s="41">
        <f t="shared" ref="T7:T55" si="2">IFERROR(IF(V7&lt;&gt;" ",V7,IF(N7="","",ROUND(N7/1000*P7,2))),"Perhatikan Ketentuan Usia + Masa Asuransi")</f>
        <v>0</v>
      </c>
      <c r="U7" s="92">
        <f t="shared" ref="U7:U55" si="3">IFERROR(IF(V7&lt;&gt;" ",V7,IF(N7="","",S7+T7)),"Perhatikan Ketentuan Usia + Masa Asuransi")</f>
        <v>180750</v>
      </c>
      <c r="V7" s="77" t="str">
        <f>IF(M7="Menurun",IF(AND(Q7&gt;'Spek Produk'!$I$23,Q7&lt;&gt;""),"Usia masuk lebih besar dari fitur produk",IF(AND(Q7&lt;'Spek Produk'!$G$23,Q7&lt;&gt;0,Q7&lt;&gt;""),"Usia masuk lebih rendah dari fitur produk",IF(N7&gt;'Spek Produk'!$F$20,"UP lebih besar dari fitur produk",IF(K7+L7/12&gt;'Spek Produk'!$I$22,"Masa asuransi lebih besar dari fitur produk",IF(AND(Q7+K7+L7/12&gt;'Spek Produk'!$H$24,Q7&lt;&gt;0,Q7&lt;&gt;""),"Maksimum masa asuransi untuk nasabah berusia "&amp;Q7&amp;" tahun adalah "&amp;MAX(0,'Spek Produk'!$H$24-Q7)&amp;" tahun",IF(AND(0&lt;K7+L7/12,K7+L7/12&lt;'Spek Produk'!$G$22),"Masa asuransi lebih kecil dari fitur produk"," ")))))),IF(AND(Q7&gt;'Spek Produk'!$I$35,Q7&lt;&gt;""),"Usia masuk lebih besar dari fitur produk",IF(AND(Q7&lt;'Spek Produk'!$G$35,Q7&lt;&gt;0,Q7&lt;&gt;""),"Usia masuk lebih rendah dari fitur produk",IF(N7&gt;'Spek Produk'!$F$32,"UP lebih besar dari fitur produk",IF(K7+L7/12&gt;'Spek Produk'!$I$34,"Masa asuransi lebih besar dari fitur produk",IF(AND(Q7+K7+L7/12&gt;'Spek Produk'!$H$36,Q7&lt;&gt;0,Q7&lt;&gt;""),"Maksimum masa asuransi untuk nasabah berusia "&amp;Q7&amp;" tahun adalah "&amp;MAX(0,'Spek Produk'!$H$36-Q7)&amp;" tahun",IF(AND(0&lt;K7+L7/12,K7+L7/12&lt;'Spek Produk'!$G$34),"Masa asuransi lebih Kecil dari fitur produk"," ")))))))</f>
        <v xml:space="preserve"> </v>
      </c>
      <c r="W7" s="77"/>
    </row>
    <row r="8" spans="1:23" x14ac:dyDescent="0.35">
      <c r="A8" s="43">
        <f t="shared" ref="A8:A55" si="4">+A7+1</f>
        <v>3</v>
      </c>
      <c r="B8" s="34" t="s">
        <v>101</v>
      </c>
      <c r="C8" s="35" t="s">
        <v>70</v>
      </c>
      <c r="D8" s="34" t="s">
        <v>75</v>
      </c>
      <c r="E8" s="36" t="s">
        <v>106</v>
      </c>
      <c r="F8" s="33" t="s">
        <v>72</v>
      </c>
      <c r="G8" s="33" t="s">
        <v>13</v>
      </c>
      <c r="H8" s="37" t="s">
        <v>83</v>
      </c>
      <c r="I8" s="89">
        <v>25194</v>
      </c>
      <c r="J8" s="89">
        <v>45992</v>
      </c>
      <c r="K8" s="33">
        <v>5</v>
      </c>
      <c r="L8" s="33">
        <v>0</v>
      </c>
      <c r="M8" s="33" t="s">
        <v>93</v>
      </c>
      <c r="N8" s="38">
        <v>50000000</v>
      </c>
      <c r="P8" s="83">
        <v>0</v>
      </c>
      <c r="Q8" s="39">
        <f t="shared" si="1"/>
        <v>57</v>
      </c>
      <c r="R8" s="40" t="str">
        <f>IF(V8&lt;&gt;" ",V8,IFERROR(VLOOKUP(Q8,IF('Spek Produk'!$F$9="Syariah",Medic!$A$21:$L$27,Medic!$A$12:$L$18),MATCH(N8,IF('Spek Produk'!$F$9="Syariah",Medic!$B$21:$L$21,Medic!$B$12:$L$12),TRUE)+1),""))</f>
        <v>A</v>
      </c>
      <c r="S8" s="92">
        <f t="shared" si="0"/>
        <v>1457500</v>
      </c>
      <c r="T8" s="41">
        <f t="shared" si="2"/>
        <v>0</v>
      </c>
      <c r="U8" s="92">
        <f t="shared" si="3"/>
        <v>1457500</v>
      </c>
      <c r="V8" s="77" t="str">
        <f>IF(M8="Menurun",IF(AND(Q8&gt;'Spek Produk'!$I$23,Q8&lt;&gt;""),"Usia masuk lebih besar dari fitur produk",IF(AND(Q8&lt;'Spek Produk'!$G$23,Q8&lt;&gt;0,Q8&lt;&gt;""),"Usia masuk lebih rendah dari fitur produk",IF(N8&gt;'Spek Produk'!$F$20,"UP lebih besar dari fitur produk",IF(K8+L8/12&gt;'Spek Produk'!$I$22,"Masa asuransi lebih besar dari fitur produk",IF(AND(Q8+K8+L8/12&gt;'Spek Produk'!$H$24,Q8&lt;&gt;0,Q8&lt;&gt;""),"Maksimum masa asuransi untuk nasabah berusia "&amp;Q8&amp;" tahun adalah "&amp;MAX(0,'Spek Produk'!$H$24-Q8)&amp;" tahun",IF(AND(0&lt;K8+L8/12,K8+L8/12&lt;'Spek Produk'!$G$22),"Masa asuransi lebih kecil dari fitur produk"," ")))))),IF(AND(Q8&gt;'Spek Produk'!$I$35,Q8&lt;&gt;""),"Usia masuk lebih besar dari fitur produk",IF(AND(Q8&lt;'Spek Produk'!$G$35,Q8&lt;&gt;0,Q8&lt;&gt;""),"Usia masuk lebih rendah dari fitur produk",IF(N8&gt;'Spek Produk'!$F$32,"UP lebih besar dari fitur produk",IF(K8+L8/12&gt;'Spek Produk'!$I$34,"Masa asuransi lebih besar dari fitur produk",IF(AND(Q8+K8+L8/12&gt;'Spek Produk'!$H$36,Q8&lt;&gt;0,Q8&lt;&gt;""),"Maksimum masa asuransi untuk nasabah berusia "&amp;Q8&amp;" tahun adalah "&amp;MAX(0,'Spek Produk'!$H$36-Q8)&amp;" tahun",IF(AND(0&lt;K8+L8/12,K8+L8/12&lt;'Spek Produk'!$G$34),"Masa asuransi lebih Kecil dari fitur produk"," ")))))))</f>
        <v xml:space="preserve"> </v>
      </c>
      <c r="W8" s="77"/>
    </row>
    <row r="9" spans="1:23" x14ac:dyDescent="0.35">
      <c r="A9" s="43">
        <f t="shared" si="4"/>
        <v>4</v>
      </c>
      <c r="B9" s="34" t="s">
        <v>102</v>
      </c>
      <c r="C9" s="35" t="s">
        <v>70</v>
      </c>
      <c r="D9" s="34" t="s">
        <v>76</v>
      </c>
      <c r="E9" s="36" t="s">
        <v>107</v>
      </c>
      <c r="F9" s="33" t="s">
        <v>72</v>
      </c>
      <c r="G9" s="33" t="s">
        <v>73</v>
      </c>
      <c r="H9" s="37" t="s">
        <v>84</v>
      </c>
      <c r="I9" s="89">
        <v>30568</v>
      </c>
      <c r="J9" s="89">
        <v>45992</v>
      </c>
      <c r="K9" s="33">
        <v>3</v>
      </c>
      <c r="L9" s="33">
        <v>1</v>
      </c>
      <c r="M9" s="33" t="s">
        <v>93</v>
      </c>
      <c r="N9" s="38">
        <v>90000000</v>
      </c>
      <c r="P9" s="83">
        <v>0</v>
      </c>
      <c r="Q9" s="39">
        <f t="shared" si="1"/>
        <v>42</v>
      </c>
      <c r="R9" s="40" t="str">
        <f>IF(V9&lt;&gt;" ",V9,IFERROR(VLOOKUP(Q9,IF('Spek Produk'!$F$9="Syariah",Medic!$A$21:$L$27,Medic!$A$12:$L$18),MATCH(N9,IF('Spek Produk'!$F$9="Syariah",Medic!$B$21:$L$21,Medic!$B$12:$L$12),TRUE)+1),""))</f>
        <v>AA</v>
      </c>
      <c r="S9" s="92">
        <f t="shared" si="0"/>
        <v>1465200</v>
      </c>
      <c r="T9" s="41">
        <f t="shared" si="2"/>
        <v>0</v>
      </c>
      <c r="U9" s="92">
        <f t="shared" si="3"/>
        <v>1465200</v>
      </c>
      <c r="V9" s="77" t="str">
        <f>IF(M9="Menurun",IF(AND(Q9&gt;'Spek Produk'!$I$23,Q9&lt;&gt;""),"Usia masuk lebih besar dari fitur produk",IF(AND(Q9&lt;'Spek Produk'!$G$23,Q9&lt;&gt;0,Q9&lt;&gt;""),"Usia masuk lebih rendah dari fitur produk",IF(N9&gt;'Spek Produk'!$F$20,"UP lebih besar dari fitur produk",IF(K9+L9/12&gt;'Spek Produk'!$I$22,"Masa asuransi lebih besar dari fitur produk",IF(AND(Q9+K9+L9/12&gt;'Spek Produk'!$H$24,Q9&lt;&gt;0,Q9&lt;&gt;""),"Maksimum masa asuransi untuk nasabah berusia "&amp;Q9&amp;" tahun adalah "&amp;MAX(0,'Spek Produk'!$H$24-Q9)&amp;" tahun",IF(AND(0&lt;K9+L9/12,K9+L9/12&lt;'Spek Produk'!$G$22),"Masa asuransi lebih kecil dari fitur produk"," ")))))),IF(AND(Q9&gt;'Spek Produk'!$I$35,Q9&lt;&gt;""),"Usia masuk lebih besar dari fitur produk",IF(AND(Q9&lt;'Spek Produk'!$G$35,Q9&lt;&gt;0,Q9&lt;&gt;""),"Usia masuk lebih rendah dari fitur produk",IF(N9&gt;'Spek Produk'!$F$32,"UP lebih besar dari fitur produk",IF(K9+L9/12&gt;'Spek Produk'!$I$34,"Masa asuransi lebih besar dari fitur produk",IF(AND(Q9+K9+L9/12&gt;'Spek Produk'!$H$36,Q9&lt;&gt;0,Q9&lt;&gt;""),"Maksimum masa asuransi untuk nasabah berusia "&amp;Q9&amp;" tahun adalah "&amp;MAX(0,'Spek Produk'!$H$36-Q9)&amp;" tahun",IF(AND(0&lt;K9+L9/12,K9+L9/12&lt;'Spek Produk'!$G$34),"Masa asuransi lebih Kecil dari fitur produk"," ")))))))</f>
        <v xml:space="preserve"> </v>
      </c>
      <c r="W9" s="77"/>
    </row>
    <row r="10" spans="1:23" x14ac:dyDescent="0.35">
      <c r="A10" s="43">
        <f t="shared" si="4"/>
        <v>5</v>
      </c>
      <c r="B10" s="34" t="s">
        <v>103</v>
      </c>
      <c r="C10" s="35" t="s">
        <v>70</v>
      </c>
      <c r="D10" s="34" t="s">
        <v>77</v>
      </c>
      <c r="E10" s="36" t="s">
        <v>108</v>
      </c>
      <c r="F10" s="33" t="s">
        <v>72</v>
      </c>
      <c r="G10" s="33" t="s">
        <v>13</v>
      </c>
      <c r="H10" s="37" t="s">
        <v>85</v>
      </c>
      <c r="I10" s="89">
        <v>27067</v>
      </c>
      <c r="J10" s="89">
        <v>45992</v>
      </c>
      <c r="K10" s="33">
        <v>5</v>
      </c>
      <c r="L10" s="33">
        <v>0</v>
      </c>
      <c r="M10" s="33" t="s">
        <v>93</v>
      </c>
      <c r="N10" s="38">
        <v>20000000</v>
      </c>
      <c r="P10" s="83">
        <v>0</v>
      </c>
      <c r="Q10" s="39">
        <f t="shared" si="1"/>
        <v>52</v>
      </c>
      <c r="R10" s="40" t="str">
        <f>IF(V10&lt;&gt;" ",V10,IFERROR(VLOOKUP(Q10,IF('Spek Produk'!$F$9="Syariah",Medic!$A$21:$L$27,Medic!$A$12:$L$18),MATCH(N10,IF('Spek Produk'!$F$9="Syariah",Medic!$B$21:$L$21,Medic!$B$12:$L$12),TRUE)+1),""))</f>
        <v>NM</v>
      </c>
      <c r="S10" s="92">
        <f t="shared" si="0"/>
        <v>583000</v>
      </c>
      <c r="T10" s="41">
        <f t="shared" si="2"/>
        <v>0</v>
      </c>
      <c r="U10" s="92">
        <f t="shared" si="3"/>
        <v>583000</v>
      </c>
      <c r="V10" s="77" t="str">
        <f>IF(M10="Menurun",IF(AND(Q10&gt;'Spek Produk'!$I$23,Q10&lt;&gt;""),"Usia masuk lebih besar dari fitur produk",IF(AND(Q10&lt;'Spek Produk'!$G$23,Q10&lt;&gt;0,Q10&lt;&gt;""),"Usia masuk lebih rendah dari fitur produk",IF(N10&gt;'Spek Produk'!$F$20,"UP lebih besar dari fitur produk",IF(K10+L10/12&gt;'Spek Produk'!$I$22,"Masa asuransi lebih besar dari fitur produk",IF(AND(Q10+K10+L10/12&gt;'Spek Produk'!$H$24,Q10&lt;&gt;0,Q10&lt;&gt;""),"Maksimum masa asuransi untuk nasabah berusia "&amp;Q10&amp;" tahun adalah "&amp;MAX(0,'Spek Produk'!$H$24-Q10)&amp;" tahun",IF(AND(0&lt;K10+L10/12,K10+L10/12&lt;'Spek Produk'!$G$22),"Masa asuransi lebih kecil dari fitur produk"," ")))))),IF(AND(Q10&gt;'Spek Produk'!$I$35,Q10&lt;&gt;""),"Usia masuk lebih besar dari fitur produk",IF(AND(Q10&lt;'Spek Produk'!$G$35,Q10&lt;&gt;0,Q10&lt;&gt;""),"Usia masuk lebih rendah dari fitur produk",IF(N10&gt;'Spek Produk'!$F$32,"UP lebih besar dari fitur produk",IF(K10+L10/12&gt;'Spek Produk'!$I$34,"Masa asuransi lebih besar dari fitur produk",IF(AND(Q10+K10+L10/12&gt;'Spek Produk'!$H$36,Q10&lt;&gt;0,Q10&lt;&gt;""),"Maksimum masa asuransi untuk nasabah berusia "&amp;Q10&amp;" tahun adalah "&amp;MAX(0,'Spek Produk'!$H$36-Q10)&amp;" tahun",IF(AND(0&lt;K10+L10/12,K10+L10/12&lt;'Spek Produk'!$G$34),"Masa asuransi lebih Kecil dari fitur produk"," ")))))))</f>
        <v xml:space="preserve"> </v>
      </c>
      <c r="W10" s="77"/>
    </row>
    <row r="11" spans="1:23" x14ac:dyDescent="0.35">
      <c r="A11" s="43">
        <f t="shared" si="4"/>
        <v>6</v>
      </c>
      <c r="B11" s="34"/>
      <c r="C11" s="35"/>
      <c r="D11" s="34"/>
      <c r="E11" s="36"/>
      <c r="F11" s="33"/>
      <c r="G11" s="33"/>
      <c r="H11" s="37"/>
      <c r="I11" s="89"/>
      <c r="J11" s="89"/>
      <c r="K11" s="33"/>
      <c r="L11" s="33"/>
      <c r="M11" s="33"/>
      <c r="N11" s="38"/>
      <c r="P11" s="83">
        <v>0</v>
      </c>
      <c r="Q11" s="39">
        <f t="shared" si="1"/>
        <v>0</v>
      </c>
      <c r="R11" s="40" t="str">
        <f>IF(V11&lt;&gt;" ",V11,IFERROR(VLOOKUP(Q11,IF('Spek Produk'!$F$9="Syariah",Medic!$A$21:$L$27,Medic!$A$12:$L$18),MATCH(N11,IF('Spek Produk'!$F$9="Syariah",Medic!$B$21:$L$21,Medic!$B$12:$L$12),TRUE)+1),""))</f>
        <v/>
      </c>
      <c r="S11" s="92" t="str">
        <f t="shared" si="0"/>
        <v/>
      </c>
      <c r="T11" s="41" t="str">
        <f t="shared" si="2"/>
        <v/>
      </c>
      <c r="U11" s="92" t="str">
        <f t="shared" si="3"/>
        <v/>
      </c>
      <c r="V11" s="77" t="str">
        <f>IF(M11="Menurun",IF(AND(Q11&gt;'Spek Produk'!$I$23,Q11&lt;&gt;""),"Usia masuk lebih besar dari fitur produk",IF(AND(Q11&lt;'Spek Produk'!$G$23,Q11&lt;&gt;0,Q11&lt;&gt;""),"Usia masuk lebih rendah dari fitur produk",IF(N11&gt;'Spek Produk'!$F$20,"UP lebih besar dari fitur produk",IF(K11+L11/12&gt;'Spek Produk'!$I$22,"Masa asuransi lebih besar dari fitur produk",IF(AND(Q11+K11+L11/12&gt;'Spek Produk'!$H$24,Q11&lt;&gt;0,Q11&lt;&gt;""),"Maksimum masa asuransi untuk nasabah berusia "&amp;Q11&amp;" tahun adalah "&amp;MAX(0,'Spek Produk'!$H$24-Q11)&amp;" tahun",IF(AND(0&lt;K11+L11/12,K11+L11/12&lt;'Spek Produk'!$G$22),"Masa asuransi lebih kecil dari fitur produk"," ")))))),IF(AND(Q11&gt;'Spek Produk'!$I$35,Q11&lt;&gt;""),"Usia masuk lebih besar dari fitur produk",IF(AND(Q11&lt;'Spek Produk'!$G$35,Q11&lt;&gt;0,Q11&lt;&gt;""),"Usia masuk lebih rendah dari fitur produk",IF(N11&gt;'Spek Produk'!$F$32,"UP lebih besar dari fitur produk",IF(K11+L11/12&gt;'Spek Produk'!$I$34,"Masa asuransi lebih besar dari fitur produk",IF(AND(Q11+K11+L11/12&gt;'Spek Produk'!$H$36,Q11&lt;&gt;0,Q11&lt;&gt;""),"Maksimum masa asuransi untuk nasabah berusia "&amp;Q11&amp;" tahun adalah "&amp;MAX(0,'Spek Produk'!$H$36-Q11)&amp;" tahun",IF(AND(0&lt;K11+L11/12,K11+L11/12&lt;'Spek Produk'!$G$34),"Masa asuransi lebih Kecil dari fitur produk"," ")))))))</f>
        <v xml:space="preserve"> </v>
      </c>
      <c r="W11" s="77"/>
    </row>
    <row r="12" spans="1:23" x14ac:dyDescent="0.35">
      <c r="A12" s="43">
        <f t="shared" si="4"/>
        <v>7</v>
      </c>
      <c r="B12" s="34"/>
      <c r="C12" s="35"/>
      <c r="D12" s="34"/>
      <c r="E12" s="36"/>
      <c r="F12" s="33"/>
      <c r="G12" s="33"/>
      <c r="H12" s="37"/>
      <c r="I12" s="89"/>
      <c r="J12" s="89"/>
      <c r="K12" s="33"/>
      <c r="L12" s="33"/>
      <c r="M12" s="33"/>
      <c r="N12" s="38"/>
      <c r="P12" s="83">
        <v>0</v>
      </c>
      <c r="Q12" s="39">
        <f t="shared" si="1"/>
        <v>0</v>
      </c>
      <c r="R12" s="40" t="str">
        <f>IF(V12&lt;&gt;" ",V12,IFERROR(VLOOKUP(Q12,IF('Spek Produk'!$F$9="Syariah",Medic!$A$21:$L$27,Medic!$A$12:$L$18),MATCH(N12,IF('Spek Produk'!$F$9="Syariah",Medic!$B$21:$L$21,Medic!$B$12:$L$12),TRUE)+1),""))</f>
        <v/>
      </c>
      <c r="S12" s="92" t="str">
        <f t="shared" si="0"/>
        <v/>
      </c>
      <c r="T12" s="41" t="str">
        <f t="shared" si="2"/>
        <v/>
      </c>
      <c r="U12" s="92" t="str">
        <f t="shared" si="3"/>
        <v/>
      </c>
      <c r="V12" s="77" t="str">
        <f>IF(M12="Menurun",IF(AND(Q12&gt;'Spek Produk'!$I$23,Q12&lt;&gt;""),"Usia masuk lebih besar dari fitur produk",IF(AND(Q12&lt;'Spek Produk'!$G$23,Q12&lt;&gt;0,Q12&lt;&gt;""),"Usia masuk lebih rendah dari fitur produk",IF(N12&gt;'Spek Produk'!$F$20,"UP lebih besar dari fitur produk",IF(K12+L12/12&gt;'Spek Produk'!$I$22,"Masa asuransi lebih besar dari fitur produk",IF(AND(Q12+K12+L12/12&gt;'Spek Produk'!$H$24,Q12&lt;&gt;0,Q12&lt;&gt;""),"Maksimum masa asuransi untuk nasabah berusia "&amp;Q12&amp;" tahun adalah "&amp;MAX(0,'Spek Produk'!$H$24-Q12)&amp;" tahun",IF(AND(0&lt;K12+L12/12,K12+L12/12&lt;'Spek Produk'!$G$22),"Masa asuransi lebih kecil dari fitur produk"," ")))))),IF(AND(Q12&gt;'Spek Produk'!$I$35,Q12&lt;&gt;""),"Usia masuk lebih besar dari fitur produk",IF(AND(Q12&lt;'Spek Produk'!$G$35,Q12&lt;&gt;0,Q12&lt;&gt;""),"Usia masuk lebih rendah dari fitur produk",IF(N12&gt;'Spek Produk'!$F$32,"UP lebih besar dari fitur produk",IF(K12+L12/12&gt;'Spek Produk'!$I$34,"Masa asuransi lebih besar dari fitur produk",IF(AND(Q12+K12+L12/12&gt;'Spek Produk'!$H$36,Q12&lt;&gt;0,Q12&lt;&gt;""),"Maksimum masa asuransi untuk nasabah berusia "&amp;Q12&amp;" tahun adalah "&amp;MAX(0,'Spek Produk'!$H$36-Q12)&amp;" tahun",IF(AND(0&lt;K12+L12/12,K12+L12/12&lt;'Spek Produk'!$G$34),"Masa asuransi lebih Kecil dari fitur produk"," ")))))))</f>
        <v xml:space="preserve"> </v>
      </c>
      <c r="W12" s="77"/>
    </row>
    <row r="13" spans="1:23" x14ac:dyDescent="0.35">
      <c r="A13" s="43">
        <f t="shared" si="4"/>
        <v>8</v>
      </c>
      <c r="B13" s="34"/>
      <c r="C13" s="35"/>
      <c r="D13" s="34"/>
      <c r="E13" s="36"/>
      <c r="F13" s="33"/>
      <c r="G13" s="33"/>
      <c r="H13" s="37"/>
      <c r="I13" s="89"/>
      <c r="J13" s="89"/>
      <c r="K13" s="33"/>
      <c r="L13" s="33"/>
      <c r="M13" s="33"/>
      <c r="N13" s="38"/>
      <c r="P13" s="83">
        <v>0</v>
      </c>
      <c r="Q13" s="39">
        <f t="shared" si="1"/>
        <v>0</v>
      </c>
      <c r="R13" s="40" t="str">
        <f>IF(V13&lt;&gt;" ",V13,IFERROR(VLOOKUP(Q13,IF('Spek Produk'!$F$9="Syariah",Medic!$A$21:$L$27,Medic!$A$12:$L$18),MATCH(N13,IF('Spek Produk'!$F$9="Syariah",Medic!$B$21:$L$21,Medic!$B$12:$L$12),TRUE)+1),""))</f>
        <v/>
      </c>
      <c r="S13" s="92" t="str">
        <f t="shared" si="0"/>
        <v/>
      </c>
      <c r="T13" s="41" t="str">
        <f t="shared" si="2"/>
        <v/>
      </c>
      <c r="U13" s="92" t="str">
        <f t="shared" si="3"/>
        <v/>
      </c>
      <c r="V13" s="77" t="str">
        <f>IF(M13="Menurun",IF(AND(Q13&gt;'Spek Produk'!$I$23,Q13&lt;&gt;""),"Usia masuk lebih besar dari fitur produk",IF(AND(Q13&lt;'Spek Produk'!$G$23,Q13&lt;&gt;0,Q13&lt;&gt;""),"Usia masuk lebih rendah dari fitur produk",IF(N13&gt;'Spek Produk'!$F$20,"UP lebih besar dari fitur produk",IF(K13+L13/12&gt;'Spek Produk'!$I$22,"Masa asuransi lebih besar dari fitur produk",IF(AND(Q13+K13+L13/12&gt;'Spek Produk'!$H$24,Q13&lt;&gt;0,Q13&lt;&gt;""),"Maksimum masa asuransi untuk nasabah berusia "&amp;Q13&amp;" tahun adalah "&amp;MAX(0,'Spek Produk'!$H$24-Q13)&amp;" tahun",IF(AND(0&lt;K13+L13/12,K13+L13/12&lt;'Spek Produk'!$G$22),"Masa asuransi lebih kecil dari fitur produk"," ")))))),IF(AND(Q13&gt;'Spek Produk'!$I$35,Q13&lt;&gt;""),"Usia masuk lebih besar dari fitur produk",IF(AND(Q13&lt;'Spek Produk'!$G$35,Q13&lt;&gt;0,Q13&lt;&gt;""),"Usia masuk lebih rendah dari fitur produk",IF(N13&gt;'Spek Produk'!$F$32,"UP lebih besar dari fitur produk",IF(K13+L13/12&gt;'Spek Produk'!$I$34,"Masa asuransi lebih besar dari fitur produk",IF(AND(Q13+K13+L13/12&gt;'Spek Produk'!$H$36,Q13&lt;&gt;0,Q13&lt;&gt;""),"Maksimum masa asuransi untuk nasabah berusia "&amp;Q13&amp;" tahun adalah "&amp;MAX(0,'Spek Produk'!$H$36-Q13)&amp;" tahun",IF(AND(0&lt;K13+L13/12,K13+L13/12&lt;'Spek Produk'!$G$34),"Masa asuransi lebih Kecil dari fitur produk"," ")))))))</f>
        <v xml:space="preserve"> </v>
      </c>
      <c r="W13" s="77"/>
    </row>
    <row r="14" spans="1:23" x14ac:dyDescent="0.35">
      <c r="A14" s="43">
        <f t="shared" si="4"/>
        <v>9</v>
      </c>
      <c r="B14" s="34"/>
      <c r="C14" s="35"/>
      <c r="D14" s="34"/>
      <c r="E14" s="36"/>
      <c r="F14" s="33"/>
      <c r="G14" s="33"/>
      <c r="H14" s="37"/>
      <c r="I14" s="89"/>
      <c r="J14" s="89"/>
      <c r="K14" s="33"/>
      <c r="L14" s="33"/>
      <c r="M14" s="33"/>
      <c r="N14" s="38"/>
      <c r="P14" s="83">
        <v>0</v>
      </c>
      <c r="Q14" s="39">
        <f t="shared" si="1"/>
        <v>0</v>
      </c>
      <c r="R14" s="40" t="str">
        <f>IF(V14&lt;&gt;" ",V14,IFERROR(VLOOKUP(Q14,IF('Spek Produk'!$F$9="Syariah",Medic!$A$21:$L$27,Medic!$A$12:$L$18),MATCH(N14,IF('Spek Produk'!$F$9="Syariah",Medic!$B$21:$L$21,Medic!$B$12:$L$12),TRUE)+1),""))</f>
        <v/>
      </c>
      <c r="S14" s="92" t="str">
        <f t="shared" si="0"/>
        <v/>
      </c>
      <c r="T14" s="41" t="str">
        <f t="shared" si="2"/>
        <v/>
      </c>
      <c r="U14" s="92" t="str">
        <f t="shared" si="3"/>
        <v/>
      </c>
      <c r="V14" s="77" t="str">
        <f>IF(M14="Menurun",IF(AND(Q14&gt;'Spek Produk'!$I$23,Q14&lt;&gt;""),"Usia masuk lebih besar dari fitur produk",IF(AND(Q14&lt;'Spek Produk'!$G$23,Q14&lt;&gt;0,Q14&lt;&gt;""),"Usia masuk lebih rendah dari fitur produk",IF(N14&gt;'Spek Produk'!$F$20,"UP lebih besar dari fitur produk",IF(K14+L14/12&gt;'Spek Produk'!$I$22,"Masa asuransi lebih besar dari fitur produk",IF(AND(Q14+K14+L14/12&gt;'Spek Produk'!$H$24,Q14&lt;&gt;0,Q14&lt;&gt;""),"Maksimum masa asuransi untuk nasabah berusia "&amp;Q14&amp;" tahun adalah "&amp;MAX(0,'Spek Produk'!$H$24-Q14)&amp;" tahun",IF(AND(0&lt;K14+L14/12,K14+L14/12&lt;'Spek Produk'!$G$22),"Masa asuransi lebih kecil dari fitur produk"," ")))))),IF(AND(Q14&gt;'Spek Produk'!$I$35,Q14&lt;&gt;""),"Usia masuk lebih besar dari fitur produk",IF(AND(Q14&lt;'Spek Produk'!$G$35,Q14&lt;&gt;0,Q14&lt;&gt;""),"Usia masuk lebih rendah dari fitur produk",IF(N14&gt;'Spek Produk'!$F$32,"UP lebih besar dari fitur produk",IF(K14+L14/12&gt;'Spek Produk'!$I$34,"Masa asuransi lebih besar dari fitur produk",IF(AND(Q14+K14+L14/12&gt;'Spek Produk'!$H$36,Q14&lt;&gt;0,Q14&lt;&gt;""),"Maksimum masa asuransi untuk nasabah berusia "&amp;Q14&amp;" tahun adalah "&amp;MAX(0,'Spek Produk'!$H$36-Q14)&amp;" tahun",IF(AND(0&lt;K14+L14/12,K14+L14/12&lt;'Spek Produk'!$G$34),"Masa asuransi lebih Kecil dari fitur produk"," ")))))))</f>
        <v xml:space="preserve"> </v>
      </c>
      <c r="W14" s="77"/>
    </row>
    <row r="15" spans="1:23" x14ac:dyDescent="0.35">
      <c r="A15" s="43">
        <f t="shared" si="4"/>
        <v>10</v>
      </c>
      <c r="B15" s="34"/>
      <c r="C15" s="35"/>
      <c r="D15" s="34"/>
      <c r="E15" s="36"/>
      <c r="F15" s="33"/>
      <c r="G15" s="33"/>
      <c r="H15" s="37"/>
      <c r="I15" s="89"/>
      <c r="J15" s="89"/>
      <c r="K15" s="33"/>
      <c r="L15" s="33"/>
      <c r="M15" s="33"/>
      <c r="N15" s="38"/>
      <c r="P15" s="83">
        <v>0</v>
      </c>
      <c r="Q15" s="39">
        <f t="shared" si="1"/>
        <v>0</v>
      </c>
      <c r="R15" s="40" t="str">
        <f>IF(V15&lt;&gt;" ",V15,IFERROR(VLOOKUP(Q15,IF('Spek Produk'!$F$9="Syariah",Medic!$A$21:$L$27,Medic!$A$12:$L$18),MATCH(N15,IF('Spek Produk'!$F$9="Syariah",Medic!$B$21:$L$21,Medic!$B$12:$L$12),TRUE)+1),""))</f>
        <v/>
      </c>
      <c r="S15" s="92" t="str">
        <f t="shared" si="0"/>
        <v/>
      </c>
      <c r="T15" s="41" t="str">
        <f t="shared" si="2"/>
        <v/>
      </c>
      <c r="U15" s="92" t="str">
        <f t="shared" si="3"/>
        <v/>
      </c>
      <c r="V15" s="77" t="str">
        <f>IF(M15="Menurun",IF(AND(Q15&gt;'Spek Produk'!$I$23,Q15&lt;&gt;""),"Usia masuk lebih besar dari fitur produk",IF(AND(Q15&lt;'Spek Produk'!$G$23,Q15&lt;&gt;0,Q15&lt;&gt;""),"Usia masuk lebih rendah dari fitur produk",IF(N15&gt;'Spek Produk'!$F$20,"UP lebih besar dari fitur produk",IF(K15+L15/12&gt;'Spek Produk'!$I$22,"Masa asuransi lebih besar dari fitur produk",IF(AND(Q15+K15+L15/12&gt;'Spek Produk'!$H$24,Q15&lt;&gt;0,Q15&lt;&gt;""),"Maksimum masa asuransi untuk nasabah berusia "&amp;Q15&amp;" tahun adalah "&amp;MAX(0,'Spek Produk'!$H$24-Q15)&amp;" tahun",IF(AND(0&lt;K15+L15/12,K15+L15/12&lt;'Spek Produk'!$G$22),"Masa asuransi lebih kecil dari fitur produk"," ")))))),IF(AND(Q15&gt;'Spek Produk'!$I$35,Q15&lt;&gt;""),"Usia masuk lebih besar dari fitur produk",IF(AND(Q15&lt;'Spek Produk'!$G$35,Q15&lt;&gt;0,Q15&lt;&gt;""),"Usia masuk lebih rendah dari fitur produk",IF(N15&gt;'Spek Produk'!$F$32,"UP lebih besar dari fitur produk",IF(K15+L15/12&gt;'Spek Produk'!$I$34,"Masa asuransi lebih besar dari fitur produk",IF(AND(Q15+K15+L15/12&gt;'Spek Produk'!$H$36,Q15&lt;&gt;0,Q15&lt;&gt;""),"Maksimum masa asuransi untuk nasabah berusia "&amp;Q15&amp;" tahun adalah "&amp;MAX(0,'Spek Produk'!$H$36-Q15)&amp;" tahun",IF(AND(0&lt;K15+L15/12,K15+L15/12&lt;'Spek Produk'!$G$34),"Masa asuransi lebih Kecil dari fitur produk"," ")))))))</f>
        <v xml:space="preserve"> </v>
      </c>
      <c r="W15" s="77"/>
    </row>
    <row r="16" spans="1:23" x14ac:dyDescent="0.35">
      <c r="A16" s="43">
        <f t="shared" si="4"/>
        <v>11</v>
      </c>
      <c r="B16" s="34"/>
      <c r="C16" s="35"/>
      <c r="D16" s="34"/>
      <c r="E16" s="36"/>
      <c r="F16" s="33"/>
      <c r="G16" s="33"/>
      <c r="H16" s="37"/>
      <c r="I16" s="89"/>
      <c r="J16" s="89"/>
      <c r="K16" s="33"/>
      <c r="L16" s="33"/>
      <c r="M16" s="33"/>
      <c r="N16" s="38"/>
      <c r="P16" s="83">
        <v>0</v>
      </c>
      <c r="Q16" s="39">
        <f t="shared" si="1"/>
        <v>0</v>
      </c>
      <c r="R16" s="40" t="str">
        <f>IF(V16&lt;&gt;" ",V16,IFERROR(VLOOKUP(Q16,IF('Spek Produk'!$F$9="Syariah",Medic!$A$21:$L$27,Medic!$A$12:$L$18),MATCH(N16,IF('Spek Produk'!$F$9="Syariah",Medic!$B$21:$L$21,Medic!$B$12:$L$12),TRUE)+1),""))</f>
        <v/>
      </c>
      <c r="S16" s="92" t="str">
        <f t="shared" si="0"/>
        <v/>
      </c>
      <c r="T16" s="41" t="str">
        <f t="shared" si="2"/>
        <v/>
      </c>
      <c r="U16" s="92" t="str">
        <f t="shared" si="3"/>
        <v/>
      </c>
      <c r="V16" s="77" t="str">
        <f>IF(M16="Menurun",IF(AND(Q16&gt;'Spek Produk'!$I$23,Q16&lt;&gt;""),"Usia masuk lebih besar dari fitur produk",IF(AND(Q16&lt;'Spek Produk'!$G$23,Q16&lt;&gt;0,Q16&lt;&gt;""),"Usia masuk lebih rendah dari fitur produk",IF(N16&gt;'Spek Produk'!$F$20,"UP lebih besar dari fitur produk",IF(K16+L16/12&gt;'Spek Produk'!$I$22,"Masa asuransi lebih besar dari fitur produk",IF(AND(Q16+K16+L16/12&gt;'Spek Produk'!$H$24,Q16&lt;&gt;0,Q16&lt;&gt;""),"Maksimum masa asuransi untuk nasabah berusia "&amp;Q16&amp;" tahun adalah "&amp;MAX(0,'Spek Produk'!$H$24-Q16)&amp;" tahun",IF(AND(0&lt;K16+L16/12,K16+L16/12&lt;'Spek Produk'!$G$22),"Masa asuransi lebih kecil dari fitur produk"," ")))))),IF(AND(Q16&gt;'Spek Produk'!$I$35,Q16&lt;&gt;""),"Usia masuk lebih besar dari fitur produk",IF(AND(Q16&lt;'Spek Produk'!$G$35,Q16&lt;&gt;0,Q16&lt;&gt;""),"Usia masuk lebih rendah dari fitur produk",IF(N16&gt;'Spek Produk'!$F$32,"UP lebih besar dari fitur produk",IF(K16+L16/12&gt;'Spek Produk'!$I$34,"Masa asuransi lebih besar dari fitur produk",IF(AND(Q16+K16+L16/12&gt;'Spek Produk'!$H$36,Q16&lt;&gt;0,Q16&lt;&gt;""),"Maksimum masa asuransi untuk nasabah berusia "&amp;Q16&amp;" tahun adalah "&amp;MAX(0,'Spek Produk'!$H$36-Q16)&amp;" tahun",IF(AND(0&lt;K16+L16/12,K16+L16/12&lt;'Spek Produk'!$G$34),"Masa asuransi lebih Kecil dari fitur produk"," ")))))))</f>
        <v xml:space="preserve"> </v>
      </c>
      <c r="W16" s="77"/>
    </row>
    <row r="17" spans="1:23" x14ac:dyDescent="0.35">
      <c r="A17" s="43">
        <f t="shared" si="4"/>
        <v>12</v>
      </c>
      <c r="B17" s="34"/>
      <c r="C17" s="35"/>
      <c r="D17" s="34"/>
      <c r="E17" s="36"/>
      <c r="F17" s="33"/>
      <c r="G17" s="33"/>
      <c r="H17" s="37"/>
      <c r="I17" s="89"/>
      <c r="J17" s="89"/>
      <c r="K17" s="33"/>
      <c r="L17" s="33"/>
      <c r="M17" s="33"/>
      <c r="N17" s="38"/>
      <c r="P17" s="83">
        <v>0</v>
      </c>
      <c r="Q17" s="39">
        <f t="shared" si="1"/>
        <v>0</v>
      </c>
      <c r="R17" s="40" t="str">
        <f>IF(V17&lt;&gt;" ",V17,IFERROR(VLOOKUP(Q17,IF('Spek Produk'!$F$9="Syariah",Medic!$A$21:$L$27,Medic!$A$12:$L$18),MATCH(N17,IF('Spek Produk'!$F$9="Syariah",Medic!$B$21:$L$21,Medic!$B$12:$L$12),TRUE)+1),""))</f>
        <v/>
      </c>
      <c r="S17" s="92" t="str">
        <f t="shared" si="0"/>
        <v/>
      </c>
      <c r="T17" s="41" t="str">
        <f t="shared" si="2"/>
        <v/>
      </c>
      <c r="U17" s="92" t="str">
        <f t="shared" si="3"/>
        <v/>
      </c>
      <c r="V17" s="77" t="str">
        <f>IF(M17="Menurun",IF(AND(Q17&gt;'Spek Produk'!$I$23,Q17&lt;&gt;""),"Usia masuk lebih besar dari fitur produk",IF(AND(Q17&lt;'Spek Produk'!$G$23,Q17&lt;&gt;0,Q17&lt;&gt;""),"Usia masuk lebih rendah dari fitur produk",IF(N17&gt;'Spek Produk'!$F$20,"UP lebih besar dari fitur produk",IF(K17+L17/12&gt;'Spek Produk'!$I$22,"Masa asuransi lebih besar dari fitur produk",IF(AND(Q17+K17+L17/12&gt;'Spek Produk'!$H$24,Q17&lt;&gt;0,Q17&lt;&gt;""),"Maksimum masa asuransi untuk nasabah berusia "&amp;Q17&amp;" tahun adalah "&amp;MAX(0,'Spek Produk'!$H$24-Q17)&amp;" tahun",IF(AND(0&lt;K17+L17/12,K17+L17/12&lt;'Spek Produk'!$G$22),"Masa asuransi lebih kecil dari fitur produk"," ")))))),IF(AND(Q17&gt;'Spek Produk'!$I$35,Q17&lt;&gt;""),"Usia masuk lebih besar dari fitur produk",IF(AND(Q17&lt;'Spek Produk'!$G$35,Q17&lt;&gt;0,Q17&lt;&gt;""),"Usia masuk lebih rendah dari fitur produk",IF(N17&gt;'Spek Produk'!$F$32,"UP lebih besar dari fitur produk",IF(K17+L17/12&gt;'Spek Produk'!$I$34,"Masa asuransi lebih besar dari fitur produk",IF(AND(Q17+K17+L17/12&gt;'Spek Produk'!$H$36,Q17&lt;&gt;0,Q17&lt;&gt;""),"Maksimum masa asuransi untuk nasabah berusia "&amp;Q17&amp;" tahun adalah "&amp;MAX(0,'Spek Produk'!$H$36-Q17)&amp;" tahun",IF(AND(0&lt;K17+L17/12,K17+L17/12&lt;'Spek Produk'!$G$34),"Masa asuransi lebih Kecil dari fitur produk"," ")))))))</f>
        <v xml:space="preserve"> </v>
      </c>
      <c r="W17" s="77"/>
    </row>
    <row r="18" spans="1:23" x14ac:dyDescent="0.35">
      <c r="A18" s="43">
        <f t="shared" si="4"/>
        <v>13</v>
      </c>
      <c r="B18" s="34"/>
      <c r="C18" s="35"/>
      <c r="D18" s="34"/>
      <c r="E18" s="36"/>
      <c r="F18" s="33"/>
      <c r="G18" s="33"/>
      <c r="H18" s="37"/>
      <c r="I18" s="89"/>
      <c r="J18" s="89"/>
      <c r="K18" s="33"/>
      <c r="L18" s="33"/>
      <c r="M18" s="33"/>
      <c r="N18" s="38"/>
      <c r="P18" s="83">
        <v>0</v>
      </c>
      <c r="Q18" s="39">
        <f t="shared" si="1"/>
        <v>0</v>
      </c>
      <c r="R18" s="40" t="str">
        <f>IF(V18&lt;&gt;" ",V18,IFERROR(VLOOKUP(Q18,IF('Spek Produk'!$F$9="Syariah",Medic!$A$21:$L$27,Medic!$A$12:$L$18),MATCH(N18,IF('Spek Produk'!$F$9="Syariah",Medic!$B$21:$L$21,Medic!$B$12:$L$12),TRUE)+1),""))</f>
        <v/>
      </c>
      <c r="S18" s="92" t="str">
        <f t="shared" si="0"/>
        <v/>
      </c>
      <c r="T18" s="41" t="str">
        <f t="shared" si="2"/>
        <v/>
      </c>
      <c r="U18" s="92" t="str">
        <f t="shared" si="3"/>
        <v/>
      </c>
      <c r="V18" s="77" t="str">
        <f>IF(M18="Menurun",IF(AND(Q18&gt;'Spek Produk'!$I$23,Q18&lt;&gt;""),"Usia masuk lebih besar dari fitur produk",IF(AND(Q18&lt;'Spek Produk'!$G$23,Q18&lt;&gt;0,Q18&lt;&gt;""),"Usia masuk lebih rendah dari fitur produk",IF(N18&gt;'Spek Produk'!$F$20,"UP lebih besar dari fitur produk",IF(K18+L18/12&gt;'Spek Produk'!$I$22,"Masa asuransi lebih besar dari fitur produk",IF(AND(Q18+K18+L18/12&gt;'Spek Produk'!$H$24,Q18&lt;&gt;0,Q18&lt;&gt;""),"Maksimum masa asuransi untuk nasabah berusia "&amp;Q18&amp;" tahun adalah "&amp;MAX(0,'Spek Produk'!$H$24-Q18)&amp;" tahun",IF(AND(0&lt;K18+L18/12,K18+L18/12&lt;'Spek Produk'!$G$22),"Masa asuransi lebih kecil dari fitur produk"," ")))))),IF(AND(Q18&gt;'Spek Produk'!$I$35,Q18&lt;&gt;""),"Usia masuk lebih besar dari fitur produk",IF(AND(Q18&lt;'Spek Produk'!$G$35,Q18&lt;&gt;0,Q18&lt;&gt;""),"Usia masuk lebih rendah dari fitur produk",IF(N18&gt;'Spek Produk'!$F$32,"UP lebih besar dari fitur produk",IF(K18+L18/12&gt;'Spek Produk'!$I$34,"Masa asuransi lebih besar dari fitur produk",IF(AND(Q18+K18+L18/12&gt;'Spek Produk'!$H$36,Q18&lt;&gt;0,Q18&lt;&gt;""),"Maksimum masa asuransi untuk nasabah berusia "&amp;Q18&amp;" tahun adalah "&amp;MAX(0,'Spek Produk'!$H$36-Q18)&amp;" tahun",IF(AND(0&lt;K18+L18/12,K18+L18/12&lt;'Spek Produk'!$G$34),"Masa asuransi lebih Kecil dari fitur produk"," ")))))))</f>
        <v xml:space="preserve"> </v>
      </c>
      <c r="W18" s="77"/>
    </row>
    <row r="19" spans="1:23" x14ac:dyDescent="0.35">
      <c r="A19" s="43">
        <f t="shared" si="4"/>
        <v>14</v>
      </c>
      <c r="B19" s="34"/>
      <c r="C19" s="35"/>
      <c r="D19" s="34"/>
      <c r="E19" s="36"/>
      <c r="F19" s="33"/>
      <c r="G19" s="33"/>
      <c r="H19" s="37"/>
      <c r="I19" s="89"/>
      <c r="J19" s="89"/>
      <c r="K19" s="33"/>
      <c r="L19" s="33"/>
      <c r="M19" s="33"/>
      <c r="N19" s="38"/>
      <c r="P19" s="83">
        <v>0</v>
      </c>
      <c r="Q19" s="39">
        <f t="shared" si="1"/>
        <v>0</v>
      </c>
      <c r="R19" s="40" t="str">
        <f>IF(V19&lt;&gt;" ",V19,IFERROR(VLOOKUP(Q19,IF('Spek Produk'!$F$9="Syariah",Medic!$A$21:$L$27,Medic!$A$12:$L$18),MATCH(N19,IF('Spek Produk'!$F$9="Syariah",Medic!$B$21:$L$21,Medic!$B$12:$L$12),TRUE)+1),""))</f>
        <v/>
      </c>
      <c r="S19" s="92" t="str">
        <f t="shared" si="0"/>
        <v/>
      </c>
      <c r="T19" s="41" t="str">
        <f t="shared" si="2"/>
        <v/>
      </c>
      <c r="U19" s="92" t="str">
        <f t="shared" si="3"/>
        <v/>
      </c>
      <c r="V19" s="77" t="str">
        <f>IF(M19="Menurun",IF(AND(Q19&gt;'Spek Produk'!$I$23,Q19&lt;&gt;""),"Usia masuk lebih besar dari fitur produk",IF(AND(Q19&lt;'Spek Produk'!$G$23,Q19&lt;&gt;0,Q19&lt;&gt;""),"Usia masuk lebih rendah dari fitur produk",IF(N19&gt;'Spek Produk'!$F$20,"UP lebih besar dari fitur produk",IF(K19+L19/12&gt;'Spek Produk'!$I$22,"Masa asuransi lebih besar dari fitur produk",IF(AND(Q19+K19+L19/12&gt;'Spek Produk'!$H$24,Q19&lt;&gt;0,Q19&lt;&gt;""),"Maksimum masa asuransi untuk nasabah berusia "&amp;Q19&amp;" tahun adalah "&amp;MAX(0,'Spek Produk'!$H$24-Q19)&amp;" tahun",IF(AND(0&lt;K19+L19/12,K19+L19/12&lt;'Spek Produk'!$G$22),"Masa asuransi lebih kecil dari fitur produk"," ")))))),IF(AND(Q19&gt;'Spek Produk'!$I$35,Q19&lt;&gt;""),"Usia masuk lebih besar dari fitur produk",IF(AND(Q19&lt;'Spek Produk'!$G$35,Q19&lt;&gt;0,Q19&lt;&gt;""),"Usia masuk lebih rendah dari fitur produk",IF(N19&gt;'Spek Produk'!$F$32,"UP lebih besar dari fitur produk",IF(K19+L19/12&gt;'Spek Produk'!$I$34,"Masa asuransi lebih besar dari fitur produk",IF(AND(Q19+K19+L19/12&gt;'Spek Produk'!$H$36,Q19&lt;&gt;0,Q19&lt;&gt;""),"Maksimum masa asuransi untuk nasabah berusia "&amp;Q19&amp;" tahun adalah "&amp;MAX(0,'Spek Produk'!$H$36-Q19)&amp;" tahun",IF(AND(0&lt;K19+L19/12,K19+L19/12&lt;'Spek Produk'!$G$34),"Masa asuransi lebih Kecil dari fitur produk"," ")))))))</f>
        <v xml:space="preserve"> </v>
      </c>
      <c r="W19" s="77"/>
    </row>
    <row r="20" spans="1:23" x14ac:dyDescent="0.35">
      <c r="A20" s="43">
        <f t="shared" si="4"/>
        <v>15</v>
      </c>
      <c r="B20" s="34"/>
      <c r="C20" s="35"/>
      <c r="D20" s="34"/>
      <c r="E20" s="36"/>
      <c r="F20" s="33"/>
      <c r="G20" s="33"/>
      <c r="H20" s="37"/>
      <c r="I20" s="89"/>
      <c r="J20" s="89"/>
      <c r="K20" s="33"/>
      <c r="L20" s="33"/>
      <c r="M20" s="33"/>
      <c r="N20" s="38"/>
      <c r="P20" s="83">
        <v>0</v>
      </c>
      <c r="Q20" s="39">
        <f t="shared" si="1"/>
        <v>0</v>
      </c>
      <c r="R20" s="40" t="str">
        <f>IF(V20&lt;&gt;" ",V20,IFERROR(VLOOKUP(Q20,IF('Spek Produk'!$F$9="Syariah",Medic!$A$21:$L$27,Medic!$A$12:$L$18),MATCH(N20,IF('Spek Produk'!$F$9="Syariah",Medic!$B$21:$L$21,Medic!$B$12:$L$12),TRUE)+1),""))</f>
        <v/>
      </c>
      <c r="S20" s="92" t="str">
        <f t="shared" si="0"/>
        <v/>
      </c>
      <c r="T20" s="41" t="str">
        <f t="shared" si="2"/>
        <v/>
      </c>
      <c r="U20" s="92" t="str">
        <f t="shared" si="3"/>
        <v/>
      </c>
      <c r="V20" s="77" t="str">
        <f>IF(M20="Menurun",IF(AND(Q20&gt;'Spek Produk'!$I$23,Q20&lt;&gt;""),"Usia masuk lebih besar dari fitur produk",IF(AND(Q20&lt;'Spek Produk'!$G$23,Q20&lt;&gt;0,Q20&lt;&gt;""),"Usia masuk lebih rendah dari fitur produk",IF(N20&gt;'Spek Produk'!$F$20,"UP lebih besar dari fitur produk",IF(K20+L20/12&gt;'Spek Produk'!$I$22,"Masa asuransi lebih besar dari fitur produk",IF(AND(Q20+K20+L20/12&gt;'Spek Produk'!$H$24,Q20&lt;&gt;0,Q20&lt;&gt;""),"Maksimum masa asuransi untuk nasabah berusia "&amp;Q20&amp;" tahun adalah "&amp;MAX(0,'Spek Produk'!$H$24-Q20)&amp;" tahun",IF(AND(0&lt;K20+L20/12,K20+L20/12&lt;'Spek Produk'!$G$22),"Masa asuransi lebih kecil dari fitur produk"," ")))))),IF(AND(Q20&gt;'Spek Produk'!$I$35,Q20&lt;&gt;""),"Usia masuk lebih besar dari fitur produk",IF(AND(Q20&lt;'Spek Produk'!$G$35,Q20&lt;&gt;0,Q20&lt;&gt;""),"Usia masuk lebih rendah dari fitur produk",IF(N20&gt;'Spek Produk'!$F$32,"UP lebih besar dari fitur produk",IF(K20+L20/12&gt;'Spek Produk'!$I$34,"Masa asuransi lebih besar dari fitur produk",IF(AND(Q20+K20+L20/12&gt;'Spek Produk'!$H$36,Q20&lt;&gt;0,Q20&lt;&gt;""),"Maksimum masa asuransi untuk nasabah berusia "&amp;Q20&amp;" tahun adalah "&amp;MAX(0,'Spek Produk'!$H$36-Q20)&amp;" tahun",IF(AND(0&lt;K20+L20/12,K20+L20/12&lt;'Spek Produk'!$G$34),"Masa asuransi lebih Kecil dari fitur produk"," ")))))))</f>
        <v xml:space="preserve"> </v>
      </c>
      <c r="W20" s="77"/>
    </row>
    <row r="21" spans="1:23" x14ac:dyDescent="0.35">
      <c r="A21" s="43">
        <f t="shared" si="4"/>
        <v>16</v>
      </c>
      <c r="B21" s="34"/>
      <c r="C21" s="35"/>
      <c r="D21" s="34"/>
      <c r="E21" s="36"/>
      <c r="F21" s="33"/>
      <c r="G21" s="33"/>
      <c r="H21" s="37"/>
      <c r="I21" s="89"/>
      <c r="J21" s="89"/>
      <c r="K21" s="33"/>
      <c r="L21" s="33"/>
      <c r="M21" s="33"/>
      <c r="N21" s="38"/>
      <c r="P21" s="83">
        <v>0</v>
      </c>
      <c r="Q21" s="39">
        <f t="shared" si="1"/>
        <v>0</v>
      </c>
      <c r="R21" s="40" t="str">
        <f>IF(V21&lt;&gt;" ",V21,IFERROR(VLOOKUP(Q21,IF('Spek Produk'!$F$9="Syariah",Medic!$A$21:$L$27,Medic!$A$12:$L$18),MATCH(N21,IF('Spek Produk'!$F$9="Syariah",Medic!$B$21:$L$21,Medic!$B$12:$L$12),TRUE)+1),""))</f>
        <v/>
      </c>
      <c r="S21" s="92" t="str">
        <f t="shared" si="0"/>
        <v/>
      </c>
      <c r="T21" s="41" t="str">
        <f t="shared" si="2"/>
        <v/>
      </c>
      <c r="U21" s="92" t="str">
        <f t="shared" si="3"/>
        <v/>
      </c>
      <c r="V21" s="77" t="str">
        <f>IF(M21="Menurun",IF(AND(Q21&gt;'Spek Produk'!$I$23,Q21&lt;&gt;""),"Usia masuk lebih besar dari fitur produk",IF(AND(Q21&lt;'Spek Produk'!$G$23,Q21&lt;&gt;0,Q21&lt;&gt;""),"Usia masuk lebih rendah dari fitur produk",IF(N21&gt;'Spek Produk'!$F$20,"UP lebih besar dari fitur produk",IF(K21+L21/12&gt;'Spek Produk'!$I$22,"Masa asuransi lebih besar dari fitur produk",IF(AND(Q21+K21+L21/12&gt;'Spek Produk'!$H$24,Q21&lt;&gt;0,Q21&lt;&gt;""),"Maksimum masa asuransi untuk nasabah berusia "&amp;Q21&amp;" tahun adalah "&amp;MAX(0,'Spek Produk'!$H$24-Q21)&amp;" tahun",IF(AND(0&lt;K21+L21/12,K21+L21/12&lt;'Spek Produk'!$G$22),"Masa asuransi lebih kecil dari fitur produk"," ")))))),IF(AND(Q21&gt;'Spek Produk'!$I$35,Q21&lt;&gt;""),"Usia masuk lebih besar dari fitur produk",IF(AND(Q21&lt;'Spek Produk'!$G$35,Q21&lt;&gt;0,Q21&lt;&gt;""),"Usia masuk lebih rendah dari fitur produk",IF(N21&gt;'Spek Produk'!$F$32,"UP lebih besar dari fitur produk",IF(K21+L21/12&gt;'Spek Produk'!$I$34,"Masa asuransi lebih besar dari fitur produk",IF(AND(Q21+K21+L21/12&gt;'Spek Produk'!$H$36,Q21&lt;&gt;0,Q21&lt;&gt;""),"Maksimum masa asuransi untuk nasabah berusia "&amp;Q21&amp;" tahun adalah "&amp;MAX(0,'Spek Produk'!$H$36-Q21)&amp;" tahun",IF(AND(0&lt;K21+L21/12,K21+L21/12&lt;'Spek Produk'!$G$34),"Masa asuransi lebih Kecil dari fitur produk"," ")))))))</f>
        <v xml:space="preserve"> </v>
      </c>
      <c r="W21" s="77"/>
    </row>
    <row r="22" spans="1:23" x14ac:dyDescent="0.35">
      <c r="A22" s="43">
        <f t="shared" si="4"/>
        <v>17</v>
      </c>
      <c r="B22" s="34"/>
      <c r="C22" s="35"/>
      <c r="D22" s="34"/>
      <c r="E22" s="36"/>
      <c r="F22" s="33"/>
      <c r="G22" s="33"/>
      <c r="H22" s="37"/>
      <c r="I22" s="89"/>
      <c r="J22" s="89"/>
      <c r="K22" s="33"/>
      <c r="L22" s="33"/>
      <c r="M22" s="33"/>
      <c r="N22" s="38"/>
      <c r="P22" s="83">
        <v>0</v>
      </c>
      <c r="Q22" s="39">
        <f t="shared" si="1"/>
        <v>0</v>
      </c>
      <c r="R22" s="40" t="str">
        <f>IF(V22&lt;&gt;" ",V22,IFERROR(VLOOKUP(Q22,IF('Spek Produk'!$F$9="Syariah",Medic!$A$21:$L$27,Medic!$A$12:$L$18),MATCH(N22,IF('Spek Produk'!$F$9="Syariah",Medic!$B$21:$L$21,Medic!$B$12:$L$12),TRUE)+1),""))</f>
        <v/>
      </c>
      <c r="S22" s="92" t="str">
        <f t="shared" si="0"/>
        <v/>
      </c>
      <c r="T22" s="41" t="str">
        <f t="shared" si="2"/>
        <v/>
      </c>
      <c r="U22" s="92" t="str">
        <f t="shared" si="3"/>
        <v/>
      </c>
      <c r="V22" s="77" t="str">
        <f>IF(M22="Menurun",IF(AND(Q22&gt;'Spek Produk'!$I$23,Q22&lt;&gt;""),"Usia masuk lebih besar dari fitur produk",IF(AND(Q22&lt;'Spek Produk'!$G$23,Q22&lt;&gt;0,Q22&lt;&gt;""),"Usia masuk lebih rendah dari fitur produk",IF(N22&gt;'Spek Produk'!$F$20,"UP lebih besar dari fitur produk",IF(K22+L22/12&gt;'Spek Produk'!$I$22,"Masa asuransi lebih besar dari fitur produk",IF(AND(Q22+K22+L22/12&gt;'Spek Produk'!$H$24,Q22&lt;&gt;0,Q22&lt;&gt;""),"Maksimum masa asuransi untuk nasabah berusia "&amp;Q22&amp;" tahun adalah "&amp;MAX(0,'Spek Produk'!$H$24-Q22)&amp;" tahun",IF(AND(0&lt;K22+L22/12,K22+L22/12&lt;'Spek Produk'!$G$22),"Masa asuransi lebih kecil dari fitur produk"," ")))))),IF(AND(Q22&gt;'Spek Produk'!$I$35,Q22&lt;&gt;""),"Usia masuk lebih besar dari fitur produk",IF(AND(Q22&lt;'Spek Produk'!$G$35,Q22&lt;&gt;0,Q22&lt;&gt;""),"Usia masuk lebih rendah dari fitur produk",IF(N22&gt;'Spek Produk'!$F$32,"UP lebih besar dari fitur produk",IF(K22+L22/12&gt;'Spek Produk'!$I$34,"Masa asuransi lebih besar dari fitur produk",IF(AND(Q22+K22+L22/12&gt;'Spek Produk'!$H$36,Q22&lt;&gt;0,Q22&lt;&gt;""),"Maksimum masa asuransi untuk nasabah berusia "&amp;Q22&amp;" tahun adalah "&amp;MAX(0,'Spek Produk'!$H$36-Q22)&amp;" tahun",IF(AND(0&lt;K22+L22/12,K22+L22/12&lt;'Spek Produk'!$G$34),"Masa asuransi lebih Kecil dari fitur produk"," ")))))))</f>
        <v xml:space="preserve"> </v>
      </c>
      <c r="W22" s="77"/>
    </row>
    <row r="23" spans="1:23" x14ac:dyDescent="0.35">
      <c r="A23" s="43">
        <f t="shared" si="4"/>
        <v>18</v>
      </c>
      <c r="B23" s="34"/>
      <c r="C23" s="35"/>
      <c r="D23" s="34"/>
      <c r="E23" s="36"/>
      <c r="F23" s="33"/>
      <c r="G23" s="33"/>
      <c r="H23" s="37"/>
      <c r="I23" s="89"/>
      <c r="J23" s="89"/>
      <c r="K23" s="33"/>
      <c r="L23" s="33"/>
      <c r="M23" s="33"/>
      <c r="N23" s="38"/>
      <c r="P23" s="83">
        <v>0</v>
      </c>
      <c r="Q23" s="39">
        <f t="shared" si="1"/>
        <v>0</v>
      </c>
      <c r="R23" s="40" t="str">
        <f>IF(V23&lt;&gt;" ",V23,IFERROR(VLOOKUP(Q23,IF('Spek Produk'!$F$9="Syariah",Medic!$A$21:$L$27,Medic!$A$12:$L$18),MATCH(N23,IF('Spek Produk'!$F$9="Syariah",Medic!$B$21:$L$21,Medic!$B$12:$L$12),TRUE)+1),""))</f>
        <v/>
      </c>
      <c r="S23" s="92" t="str">
        <f t="shared" si="0"/>
        <v/>
      </c>
      <c r="T23" s="41" t="str">
        <f t="shared" si="2"/>
        <v/>
      </c>
      <c r="U23" s="92" t="str">
        <f t="shared" si="3"/>
        <v/>
      </c>
      <c r="V23" s="77" t="str">
        <f>IF(M23="Menurun",IF(AND(Q23&gt;'Spek Produk'!$I$23,Q23&lt;&gt;""),"Usia masuk lebih besar dari fitur produk",IF(AND(Q23&lt;'Spek Produk'!$G$23,Q23&lt;&gt;0,Q23&lt;&gt;""),"Usia masuk lebih rendah dari fitur produk",IF(N23&gt;'Spek Produk'!$F$20,"UP lebih besar dari fitur produk",IF(K23+L23/12&gt;'Spek Produk'!$I$22,"Masa asuransi lebih besar dari fitur produk",IF(AND(Q23+K23+L23/12&gt;'Spek Produk'!$H$24,Q23&lt;&gt;0,Q23&lt;&gt;""),"Maksimum masa asuransi untuk nasabah berusia "&amp;Q23&amp;" tahun adalah "&amp;MAX(0,'Spek Produk'!$H$24-Q23)&amp;" tahun",IF(AND(0&lt;K23+L23/12,K23+L23/12&lt;'Spek Produk'!$G$22),"Masa asuransi lebih kecil dari fitur produk"," ")))))),IF(AND(Q23&gt;'Spek Produk'!$I$35,Q23&lt;&gt;""),"Usia masuk lebih besar dari fitur produk",IF(AND(Q23&lt;'Spek Produk'!$G$35,Q23&lt;&gt;0,Q23&lt;&gt;""),"Usia masuk lebih rendah dari fitur produk",IF(N23&gt;'Spek Produk'!$F$32,"UP lebih besar dari fitur produk",IF(K23+L23/12&gt;'Spek Produk'!$I$34,"Masa asuransi lebih besar dari fitur produk",IF(AND(Q23+K23+L23/12&gt;'Spek Produk'!$H$36,Q23&lt;&gt;0,Q23&lt;&gt;""),"Maksimum masa asuransi untuk nasabah berusia "&amp;Q23&amp;" tahun adalah "&amp;MAX(0,'Spek Produk'!$H$36-Q23)&amp;" tahun",IF(AND(0&lt;K23+L23/12,K23+L23/12&lt;'Spek Produk'!$G$34),"Masa asuransi lebih Kecil dari fitur produk"," ")))))))</f>
        <v xml:space="preserve"> </v>
      </c>
      <c r="W23" s="77"/>
    </row>
    <row r="24" spans="1:23" x14ac:dyDescent="0.35">
      <c r="A24" s="43">
        <f t="shared" si="4"/>
        <v>19</v>
      </c>
      <c r="B24" s="34"/>
      <c r="C24" s="35"/>
      <c r="D24" s="34"/>
      <c r="E24" s="36"/>
      <c r="F24" s="33"/>
      <c r="G24" s="33"/>
      <c r="H24" s="37"/>
      <c r="I24" s="89"/>
      <c r="J24" s="89"/>
      <c r="K24" s="33"/>
      <c r="L24" s="33"/>
      <c r="M24" s="33"/>
      <c r="N24" s="38"/>
      <c r="P24" s="83">
        <v>0</v>
      </c>
      <c r="Q24" s="39">
        <f t="shared" si="1"/>
        <v>0</v>
      </c>
      <c r="R24" s="40" t="str">
        <f>IF(V24&lt;&gt;" ",V24,IFERROR(VLOOKUP(Q24,IF('Spek Produk'!$F$9="Syariah",Medic!$A$21:$L$27,Medic!$A$12:$L$18),MATCH(N24,IF('Spek Produk'!$F$9="Syariah",Medic!$B$21:$L$21,Medic!$B$12:$L$12),TRUE)+1),""))</f>
        <v/>
      </c>
      <c r="S24" s="92" t="str">
        <f t="shared" si="0"/>
        <v/>
      </c>
      <c r="T24" s="41" t="str">
        <f t="shared" si="2"/>
        <v/>
      </c>
      <c r="U24" s="92" t="str">
        <f t="shared" si="3"/>
        <v/>
      </c>
      <c r="V24" s="77" t="str">
        <f>IF(M24="Menurun",IF(AND(Q24&gt;'Spek Produk'!$I$23,Q24&lt;&gt;""),"Usia masuk lebih besar dari fitur produk",IF(AND(Q24&lt;'Spek Produk'!$G$23,Q24&lt;&gt;0,Q24&lt;&gt;""),"Usia masuk lebih rendah dari fitur produk",IF(N24&gt;'Spek Produk'!$F$20,"UP lebih besar dari fitur produk",IF(K24+L24/12&gt;'Spek Produk'!$I$22,"Masa asuransi lebih besar dari fitur produk",IF(AND(Q24+K24+L24/12&gt;'Spek Produk'!$H$24,Q24&lt;&gt;0,Q24&lt;&gt;""),"Maksimum masa asuransi untuk nasabah berusia "&amp;Q24&amp;" tahun adalah "&amp;MAX(0,'Spek Produk'!$H$24-Q24)&amp;" tahun",IF(AND(0&lt;K24+L24/12,K24+L24/12&lt;'Spek Produk'!$G$22),"Masa asuransi lebih kecil dari fitur produk"," ")))))),IF(AND(Q24&gt;'Spek Produk'!$I$35,Q24&lt;&gt;""),"Usia masuk lebih besar dari fitur produk",IF(AND(Q24&lt;'Spek Produk'!$G$35,Q24&lt;&gt;0,Q24&lt;&gt;""),"Usia masuk lebih rendah dari fitur produk",IF(N24&gt;'Spek Produk'!$F$32,"UP lebih besar dari fitur produk",IF(K24+L24/12&gt;'Spek Produk'!$I$34,"Masa asuransi lebih besar dari fitur produk",IF(AND(Q24+K24+L24/12&gt;'Spek Produk'!$H$36,Q24&lt;&gt;0,Q24&lt;&gt;""),"Maksimum masa asuransi untuk nasabah berusia "&amp;Q24&amp;" tahun adalah "&amp;MAX(0,'Spek Produk'!$H$36-Q24)&amp;" tahun",IF(AND(0&lt;K24+L24/12,K24+L24/12&lt;'Spek Produk'!$G$34),"Masa asuransi lebih Kecil dari fitur produk"," ")))))))</f>
        <v xml:space="preserve"> </v>
      </c>
      <c r="W24" s="77"/>
    </row>
    <row r="25" spans="1:23" x14ac:dyDescent="0.35">
      <c r="A25" s="43">
        <f t="shared" si="4"/>
        <v>20</v>
      </c>
      <c r="B25" s="34"/>
      <c r="C25" s="35"/>
      <c r="D25" s="34"/>
      <c r="E25" s="36"/>
      <c r="F25" s="33"/>
      <c r="G25" s="33"/>
      <c r="H25" s="37"/>
      <c r="I25" s="89"/>
      <c r="J25" s="89"/>
      <c r="K25" s="33"/>
      <c r="L25" s="33"/>
      <c r="M25" s="33"/>
      <c r="N25" s="38"/>
      <c r="P25" s="83">
        <v>0</v>
      </c>
      <c r="Q25" s="39">
        <f t="shared" si="1"/>
        <v>0</v>
      </c>
      <c r="R25" s="40" t="str">
        <f>IF(V25&lt;&gt;" ",V25,IFERROR(VLOOKUP(Q25,IF('Spek Produk'!$F$9="Syariah",Medic!$A$21:$L$27,Medic!$A$12:$L$18),MATCH(N25,IF('Spek Produk'!$F$9="Syariah",Medic!$B$21:$L$21,Medic!$B$12:$L$12),TRUE)+1),""))</f>
        <v/>
      </c>
      <c r="S25" s="92" t="str">
        <f t="shared" si="0"/>
        <v/>
      </c>
      <c r="T25" s="41" t="str">
        <f t="shared" si="2"/>
        <v/>
      </c>
      <c r="U25" s="92" t="str">
        <f t="shared" si="3"/>
        <v/>
      </c>
      <c r="V25" s="77" t="str">
        <f>IF(M25="Menurun",IF(AND(Q25&gt;'Spek Produk'!$I$23,Q25&lt;&gt;""),"Usia masuk lebih besar dari fitur produk",IF(AND(Q25&lt;'Spek Produk'!$G$23,Q25&lt;&gt;0,Q25&lt;&gt;""),"Usia masuk lebih rendah dari fitur produk",IF(N25&gt;'Spek Produk'!$F$20,"UP lebih besar dari fitur produk",IF(K25+L25/12&gt;'Spek Produk'!$I$22,"Masa asuransi lebih besar dari fitur produk",IF(AND(Q25+K25+L25/12&gt;'Spek Produk'!$H$24,Q25&lt;&gt;0,Q25&lt;&gt;""),"Maksimum masa asuransi untuk nasabah berusia "&amp;Q25&amp;" tahun adalah "&amp;MAX(0,'Spek Produk'!$H$24-Q25)&amp;" tahun",IF(AND(0&lt;K25+L25/12,K25+L25/12&lt;'Spek Produk'!$G$22),"Masa asuransi lebih kecil dari fitur produk"," ")))))),IF(AND(Q25&gt;'Spek Produk'!$I$35,Q25&lt;&gt;""),"Usia masuk lebih besar dari fitur produk",IF(AND(Q25&lt;'Spek Produk'!$G$35,Q25&lt;&gt;0,Q25&lt;&gt;""),"Usia masuk lebih rendah dari fitur produk",IF(N25&gt;'Spek Produk'!$F$32,"UP lebih besar dari fitur produk",IF(K25+L25/12&gt;'Spek Produk'!$I$34,"Masa asuransi lebih besar dari fitur produk",IF(AND(Q25+K25+L25/12&gt;'Spek Produk'!$H$36,Q25&lt;&gt;0,Q25&lt;&gt;""),"Maksimum masa asuransi untuk nasabah berusia "&amp;Q25&amp;" tahun adalah "&amp;MAX(0,'Spek Produk'!$H$36-Q25)&amp;" tahun",IF(AND(0&lt;K25+L25/12,K25+L25/12&lt;'Spek Produk'!$G$34),"Masa asuransi lebih Kecil dari fitur produk"," ")))))))</f>
        <v xml:space="preserve"> </v>
      </c>
      <c r="W25" s="77"/>
    </row>
    <row r="26" spans="1:23" x14ac:dyDescent="0.35">
      <c r="A26" s="43">
        <f t="shared" si="4"/>
        <v>21</v>
      </c>
      <c r="B26" s="34"/>
      <c r="C26" s="35"/>
      <c r="D26" s="34"/>
      <c r="E26" s="36"/>
      <c r="F26" s="33"/>
      <c r="G26" s="33"/>
      <c r="H26" s="37"/>
      <c r="I26" s="89"/>
      <c r="J26" s="89"/>
      <c r="K26" s="33"/>
      <c r="L26" s="33"/>
      <c r="M26" s="33"/>
      <c r="N26" s="38"/>
      <c r="P26" s="83">
        <v>0</v>
      </c>
      <c r="Q26" s="39">
        <f t="shared" si="1"/>
        <v>0</v>
      </c>
      <c r="R26" s="40" t="str">
        <f>IF(V26&lt;&gt;" ",V26,IFERROR(VLOOKUP(Q26,IF('Spek Produk'!$F$9="Syariah",Medic!$A$21:$L$27,Medic!$A$12:$L$18),MATCH(N26,IF('Spek Produk'!$F$9="Syariah",Medic!$B$21:$L$21,Medic!$B$12:$L$12),TRUE)+1),""))</f>
        <v/>
      </c>
      <c r="S26" s="92" t="str">
        <f t="shared" si="0"/>
        <v/>
      </c>
      <c r="T26" s="41" t="str">
        <f t="shared" si="2"/>
        <v/>
      </c>
      <c r="U26" s="92" t="str">
        <f t="shared" si="3"/>
        <v/>
      </c>
      <c r="V26" s="77" t="str">
        <f>IF(M26="Menurun",IF(AND(Q26&gt;'Spek Produk'!$I$23,Q26&lt;&gt;""),"Usia masuk lebih besar dari fitur produk",IF(AND(Q26&lt;'Spek Produk'!$G$23,Q26&lt;&gt;0,Q26&lt;&gt;""),"Usia masuk lebih rendah dari fitur produk",IF(N26&gt;'Spek Produk'!$F$20,"UP lebih besar dari fitur produk",IF(K26+L26/12&gt;'Spek Produk'!$I$22,"Masa asuransi lebih besar dari fitur produk",IF(AND(Q26+K26+L26/12&gt;'Spek Produk'!$H$24,Q26&lt;&gt;0,Q26&lt;&gt;""),"Maksimum masa asuransi untuk nasabah berusia "&amp;Q26&amp;" tahun adalah "&amp;MAX(0,'Spek Produk'!$H$24-Q26)&amp;" tahun",IF(AND(0&lt;K26+L26/12,K26+L26/12&lt;'Spek Produk'!$G$22),"Masa asuransi lebih kecil dari fitur produk"," ")))))),IF(AND(Q26&gt;'Spek Produk'!$I$35,Q26&lt;&gt;""),"Usia masuk lebih besar dari fitur produk",IF(AND(Q26&lt;'Spek Produk'!$G$35,Q26&lt;&gt;0,Q26&lt;&gt;""),"Usia masuk lebih rendah dari fitur produk",IF(N26&gt;'Spek Produk'!$F$32,"UP lebih besar dari fitur produk",IF(K26+L26/12&gt;'Spek Produk'!$I$34,"Masa asuransi lebih besar dari fitur produk",IF(AND(Q26+K26+L26/12&gt;'Spek Produk'!$H$36,Q26&lt;&gt;0,Q26&lt;&gt;""),"Maksimum masa asuransi untuk nasabah berusia "&amp;Q26&amp;" tahun adalah "&amp;MAX(0,'Spek Produk'!$H$36-Q26)&amp;" tahun",IF(AND(0&lt;K26+L26/12,K26+L26/12&lt;'Spek Produk'!$G$34),"Masa asuransi lebih Kecil dari fitur produk"," ")))))))</f>
        <v xml:space="preserve"> </v>
      </c>
      <c r="W26" s="77"/>
    </row>
    <row r="27" spans="1:23" x14ac:dyDescent="0.35">
      <c r="A27" s="43">
        <f t="shared" si="4"/>
        <v>22</v>
      </c>
      <c r="B27" s="34"/>
      <c r="C27" s="35"/>
      <c r="D27" s="34"/>
      <c r="E27" s="36"/>
      <c r="F27" s="33"/>
      <c r="G27" s="33"/>
      <c r="H27" s="37"/>
      <c r="I27" s="89"/>
      <c r="J27" s="89"/>
      <c r="K27" s="33"/>
      <c r="L27" s="33"/>
      <c r="M27" s="33"/>
      <c r="N27" s="38"/>
      <c r="P27" s="83">
        <v>0</v>
      </c>
      <c r="Q27" s="39">
        <f t="shared" si="1"/>
        <v>0</v>
      </c>
      <c r="R27" s="40" t="str">
        <f>IF(V27&lt;&gt;" ",V27,IFERROR(VLOOKUP(Q27,IF('Spek Produk'!$F$9="Syariah",Medic!$A$21:$L$27,Medic!$A$12:$L$18),MATCH(N27,IF('Spek Produk'!$F$9="Syariah",Medic!$B$21:$L$21,Medic!$B$12:$L$12),TRUE)+1),""))</f>
        <v/>
      </c>
      <c r="S27" s="92" t="str">
        <f t="shared" si="0"/>
        <v/>
      </c>
      <c r="T27" s="41" t="str">
        <f t="shared" si="2"/>
        <v/>
      </c>
      <c r="U27" s="92" t="str">
        <f t="shared" si="3"/>
        <v/>
      </c>
      <c r="V27" s="77" t="str">
        <f>IF(M27="Menurun",IF(AND(Q27&gt;'Spek Produk'!$I$23,Q27&lt;&gt;""),"Usia masuk lebih besar dari fitur produk",IF(AND(Q27&lt;'Spek Produk'!$G$23,Q27&lt;&gt;0,Q27&lt;&gt;""),"Usia masuk lebih rendah dari fitur produk",IF(N27&gt;'Spek Produk'!$F$20,"UP lebih besar dari fitur produk",IF(K27+L27/12&gt;'Spek Produk'!$I$22,"Masa asuransi lebih besar dari fitur produk",IF(AND(Q27+K27+L27/12&gt;'Spek Produk'!$H$24,Q27&lt;&gt;0,Q27&lt;&gt;""),"Maksimum masa asuransi untuk nasabah berusia "&amp;Q27&amp;" tahun adalah "&amp;MAX(0,'Spek Produk'!$H$24-Q27)&amp;" tahun",IF(AND(0&lt;K27+L27/12,K27+L27/12&lt;'Spek Produk'!$G$22),"Masa asuransi lebih kecil dari fitur produk"," ")))))),IF(AND(Q27&gt;'Spek Produk'!$I$35,Q27&lt;&gt;""),"Usia masuk lebih besar dari fitur produk",IF(AND(Q27&lt;'Spek Produk'!$G$35,Q27&lt;&gt;0,Q27&lt;&gt;""),"Usia masuk lebih rendah dari fitur produk",IF(N27&gt;'Spek Produk'!$F$32,"UP lebih besar dari fitur produk",IF(K27+L27/12&gt;'Spek Produk'!$I$34,"Masa asuransi lebih besar dari fitur produk",IF(AND(Q27+K27+L27/12&gt;'Spek Produk'!$H$36,Q27&lt;&gt;0,Q27&lt;&gt;""),"Maksimum masa asuransi untuk nasabah berusia "&amp;Q27&amp;" tahun adalah "&amp;MAX(0,'Spek Produk'!$H$36-Q27)&amp;" tahun",IF(AND(0&lt;K27+L27/12,K27+L27/12&lt;'Spek Produk'!$G$34),"Masa asuransi lebih Kecil dari fitur produk"," ")))))))</f>
        <v xml:space="preserve"> </v>
      </c>
      <c r="W27" s="77"/>
    </row>
    <row r="28" spans="1:23" x14ac:dyDescent="0.35">
      <c r="A28" s="43">
        <f t="shared" si="4"/>
        <v>23</v>
      </c>
      <c r="B28" s="34"/>
      <c r="C28" s="35"/>
      <c r="D28" s="34"/>
      <c r="E28" s="36"/>
      <c r="F28" s="33"/>
      <c r="G28" s="33"/>
      <c r="H28" s="37"/>
      <c r="I28" s="89"/>
      <c r="J28" s="89"/>
      <c r="K28" s="33"/>
      <c r="L28" s="33"/>
      <c r="M28" s="33"/>
      <c r="N28" s="38"/>
      <c r="P28" s="83">
        <v>0</v>
      </c>
      <c r="Q28" s="39">
        <f t="shared" si="1"/>
        <v>0</v>
      </c>
      <c r="R28" s="40" t="str">
        <f>IF(V28&lt;&gt;" ",V28,IFERROR(VLOOKUP(Q28,IF('Spek Produk'!$F$9="Syariah",Medic!$A$21:$L$27,Medic!$A$12:$L$18),MATCH(N28,IF('Spek Produk'!$F$9="Syariah",Medic!$B$21:$L$21,Medic!$B$12:$L$12),TRUE)+1),""))</f>
        <v/>
      </c>
      <c r="S28" s="92" t="str">
        <f t="shared" si="0"/>
        <v/>
      </c>
      <c r="T28" s="41" t="str">
        <f t="shared" si="2"/>
        <v/>
      </c>
      <c r="U28" s="92" t="str">
        <f t="shared" si="3"/>
        <v/>
      </c>
      <c r="V28" s="77" t="str">
        <f>IF(M28="Menurun",IF(AND(Q28&gt;'Spek Produk'!$I$23,Q28&lt;&gt;""),"Usia masuk lebih besar dari fitur produk",IF(AND(Q28&lt;'Spek Produk'!$G$23,Q28&lt;&gt;0,Q28&lt;&gt;""),"Usia masuk lebih rendah dari fitur produk",IF(N28&gt;'Spek Produk'!$F$20,"UP lebih besar dari fitur produk",IF(K28+L28/12&gt;'Spek Produk'!$I$22,"Masa asuransi lebih besar dari fitur produk",IF(AND(Q28+K28+L28/12&gt;'Spek Produk'!$H$24,Q28&lt;&gt;0,Q28&lt;&gt;""),"Maksimum masa asuransi untuk nasabah berusia "&amp;Q28&amp;" tahun adalah "&amp;MAX(0,'Spek Produk'!$H$24-Q28)&amp;" tahun",IF(AND(0&lt;K28+L28/12,K28+L28/12&lt;'Spek Produk'!$G$22),"Masa asuransi lebih kecil dari fitur produk"," ")))))),IF(AND(Q28&gt;'Spek Produk'!$I$35,Q28&lt;&gt;""),"Usia masuk lebih besar dari fitur produk",IF(AND(Q28&lt;'Spek Produk'!$G$35,Q28&lt;&gt;0,Q28&lt;&gt;""),"Usia masuk lebih rendah dari fitur produk",IF(N28&gt;'Spek Produk'!$F$32,"UP lebih besar dari fitur produk",IF(K28+L28/12&gt;'Spek Produk'!$I$34,"Masa asuransi lebih besar dari fitur produk",IF(AND(Q28+K28+L28/12&gt;'Spek Produk'!$H$36,Q28&lt;&gt;0,Q28&lt;&gt;""),"Maksimum masa asuransi untuk nasabah berusia "&amp;Q28&amp;" tahun adalah "&amp;MAX(0,'Spek Produk'!$H$36-Q28)&amp;" tahun",IF(AND(0&lt;K28+L28/12,K28+L28/12&lt;'Spek Produk'!$G$34),"Masa asuransi lebih Kecil dari fitur produk"," ")))))))</f>
        <v xml:space="preserve"> </v>
      </c>
      <c r="W28" s="77"/>
    </row>
    <row r="29" spans="1:23" x14ac:dyDescent="0.35">
      <c r="A29" s="43">
        <f t="shared" si="4"/>
        <v>24</v>
      </c>
      <c r="B29" s="34"/>
      <c r="C29" s="35"/>
      <c r="D29" s="34"/>
      <c r="E29" s="36"/>
      <c r="F29" s="33"/>
      <c r="G29" s="33"/>
      <c r="H29" s="37"/>
      <c r="I29" s="89"/>
      <c r="J29" s="89"/>
      <c r="K29" s="33"/>
      <c r="L29" s="33"/>
      <c r="M29" s="33"/>
      <c r="N29" s="38"/>
      <c r="P29" s="83">
        <v>0</v>
      </c>
      <c r="Q29" s="39">
        <f t="shared" si="1"/>
        <v>0</v>
      </c>
      <c r="R29" s="40" t="str">
        <f>IF(V29&lt;&gt;" ",V29,IFERROR(VLOOKUP(Q29,IF('Spek Produk'!$F$9="Syariah",Medic!$A$21:$L$27,Medic!$A$12:$L$18),MATCH(N29,IF('Spek Produk'!$F$9="Syariah",Medic!$B$21:$L$21,Medic!$B$12:$L$12),TRUE)+1),""))</f>
        <v/>
      </c>
      <c r="S29" s="92" t="str">
        <f t="shared" si="0"/>
        <v/>
      </c>
      <c r="T29" s="41" t="str">
        <f t="shared" si="2"/>
        <v/>
      </c>
      <c r="U29" s="92" t="str">
        <f t="shared" si="3"/>
        <v/>
      </c>
      <c r="V29" s="77" t="str">
        <f>IF(M29="Menurun",IF(AND(Q29&gt;'Spek Produk'!$I$23,Q29&lt;&gt;""),"Usia masuk lebih besar dari fitur produk",IF(AND(Q29&lt;'Spek Produk'!$G$23,Q29&lt;&gt;0,Q29&lt;&gt;""),"Usia masuk lebih rendah dari fitur produk",IF(N29&gt;'Spek Produk'!$F$20,"UP lebih besar dari fitur produk",IF(K29+L29/12&gt;'Spek Produk'!$I$22,"Masa asuransi lebih besar dari fitur produk",IF(AND(Q29+K29+L29/12&gt;'Spek Produk'!$H$24,Q29&lt;&gt;0,Q29&lt;&gt;""),"Maksimum masa asuransi untuk nasabah berusia "&amp;Q29&amp;" tahun adalah "&amp;MAX(0,'Spek Produk'!$H$24-Q29)&amp;" tahun",IF(AND(0&lt;K29+L29/12,K29+L29/12&lt;'Spek Produk'!$G$22),"Masa asuransi lebih kecil dari fitur produk"," ")))))),IF(AND(Q29&gt;'Spek Produk'!$I$35,Q29&lt;&gt;""),"Usia masuk lebih besar dari fitur produk",IF(AND(Q29&lt;'Spek Produk'!$G$35,Q29&lt;&gt;0,Q29&lt;&gt;""),"Usia masuk lebih rendah dari fitur produk",IF(N29&gt;'Spek Produk'!$F$32,"UP lebih besar dari fitur produk",IF(K29+L29/12&gt;'Spek Produk'!$I$34,"Masa asuransi lebih besar dari fitur produk",IF(AND(Q29+K29+L29/12&gt;'Spek Produk'!$H$36,Q29&lt;&gt;0,Q29&lt;&gt;""),"Maksimum masa asuransi untuk nasabah berusia "&amp;Q29&amp;" tahun adalah "&amp;MAX(0,'Spek Produk'!$H$36-Q29)&amp;" tahun",IF(AND(0&lt;K29+L29/12,K29+L29/12&lt;'Spek Produk'!$G$34),"Masa asuransi lebih Kecil dari fitur produk"," ")))))))</f>
        <v xml:space="preserve"> </v>
      </c>
      <c r="W29" s="77"/>
    </row>
    <row r="30" spans="1:23" x14ac:dyDescent="0.35">
      <c r="A30" s="43">
        <f t="shared" si="4"/>
        <v>25</v>
      </c>
      <c r="B30" s="34"/>
      <c r="C30" s="35"/>
      <c r="D30" s="34"/>
      <c r="E30" s="36"/>
      <c r="F30" s="33"/>
      <c r="G30" s="33"/>
      <c r="H30" s="37"/>
      <c r="I30" s="89"/>
      <c r="J30" s="89"/>
      <c r="K30" s="33"/>
      <c r="L30" s="33"/>
      <c r="M30" s="33"/>
      <c r="N30" s="38"/>
      <c r="P30" s="83">
        <v>0</v>
      </c>
      <c r="Q30" s="39">
        <f t="shared" si="1"/>
        <v>0</v>
      </c>
      <c r="R30" s="40" t="str">
        <f>IF(V30&lt;&gt;" ",V30,IFERROR(VLOOKUP(Q30,IF('Spek Produk'!$F$9="Syariah",Medic!$A$21:$L$27,Medic!$A$12:$L$18),MATCH(N30,IF('Spek Produk'!$F$9="Syariah",Medic!$B$21:$L$21,Medic!$B$12:$L$12),TRUE)+1),""))</f>
        <v/>
      </c>
      <c r="S30" s="92" t="str">
        <f t="shared" si="0"/>
        <v/>
      </c>
      <c r="T30" s="41" t="str">
        <f t="shared" si="2"/>
        <v/>
      </c>
      <c r="U30" s="92" t="str">
        <f t="shared" si="3"/>
        <v/>
      </c>
      <c r="V30" s="77" t="str">
        <f>IF(M30="Menurun",IF(AND(Q30&gt;'Spek Produk'!$I$23,Q30&lt;&gt;""),"Usia masuk lebih besar dari fitur produk",IF(AND(Q30&lt;'Spek Produk'!$G$23,Q30&lt;&gt;0,Q30&lt;&gt;""),"Usia masuk lebih rendah dari fitur produk",IF(N30&gt;'Spek Produk'!$F$20,"UP lebih besar dari fitur produk",IF(K30+L30/12&gt;'Spek Produk'!$I$22,"Masa asuransi lebih besar dari fitur produk",IF(AND(Q30+K30+L30/12&gt;'Spek Produk'!$H$24,Q30&lt;&gt;0,Q30&lt;&gt;""),"Maksimum masa asuransi untuk nasabah berusia "&amp;Q30&amp;" tahun adalah "&amp;MAX(0,'Spek Produk'!$H$24-Q30)&amp;" tahun",IF(AND(0&lt;K30+L30/12,K30+L30/12&lt;'Spek Produk'!$G$22),"Masa asuransi lebih kecil dari fitur produk"," ")))))),IF(AND(Q30&gt;'Spek Produk'!$I$35,Q30&lt;&gt;""),"Usia masuk lebih besar dari fitur produk",IF(AND(Q30&lt;'Spek Produk'!$G$35,Q30&lt;&gt;0,Q30&lt;&gt;""),"Usia masuk lebih rendah dari fitur produk",IF(N30&gt;'Spek Produk'!$F$32,"UP lebih besar dari fitur produk",IF(K30+L30/12&gt;'Spek Produk'!$I$34,"Masa asuransi lebih besar dari fitur produk",IF(AND(Q30+K30+L30/12&gt;'Spek Produk'!$H$36,Q30&lt;&gt;0,Q30&lt;&gt;""),"Maksimum masa asuransi untuk nasabah berusia "&amp;Q30&amp;" tahun adalah "&amp;MAX(0,'Spek Produk'!$H$36-Q30)&amp;" tahun",IF(AND(0&lt;K30+L30/12,K30+L30/12&lt;'Spek Produk'!$G$34),"Masa asuransi lebih Kecil dari fitur produk"," ")))))))</f>
        <v xml:space="preserve"> </v>
      </c>
      <c r="W30" s="77"/>
    </row>
    <row r="31" spans="1:23" x14ac:dyDescent="0.35">
      <c r="A31" s="43">
        <f t="shared" si="4"/>
        <v>26</v>
      </c>
      <c r="B31" s="34"/>
      <c r="C31" s="35"/>
      <c r="D31" s="34"/>
      <c r="E31" s="36"/>
      <c r="F31" s="33"/>
      <c r="G31" s="33"/>
      <c r="H31" s="37"/>
      <c r="I31" s="89"/>
      <c r="J31" s="89"/>
      <c r="K31" s="33"/>
      <c r="L31" s="33"/>
      <c r="M31" s="33"/>
      <c r="N31" s="38"/>
      <c r="P31" s="83">
        <v>0</v>
      </c>
      <c r="Q31" s="39">
        <f t="shared" si="1"/>
        <v>0</v>
      </c>
      <c r="R31" s="40" t="str">
        <f>IF(V31&lt;&gt;" ",V31,IFERROR(VLOOKUP(Q31,IF('Spek Produk'!$F$9="Syariah",Medic!$A$21:$L$27,Medic!$A$12:$L$18),MATCH(N31,IF('Spek Produk'!$F$9="Syariah",Medic!$B$21:$L$21,Medic!$B$12:$L$12),TRUE)+1),""))</f>
        <v/>
      </c>
      <c r="S31" s="92" t="str">
        <f t="shared" si="0"/>
        <v/>
      </c>
      <c r="T31" s="41" t="str">
        <f t="shared" si="2"/>
        <v/>
      </c>
      <c r="U31" s="92" t="str">
        <f t="shared" si="3"/>
        <v/>
      </c>
      <c r="V31" s="77" t="str">
        <f>IF(M31="Menurun",IF(AND(Q31&gt;'Spek Produk'!$I$23,Q31&lt;&gt;""),"Usia masuk lebih besar dari fitur produk",IF(AND(Q31&lt;'Spek Produk'!$G$23,Q31&lt;&gt;0,Q31&lt;&gt;""),"Usia masuk lebih rendah dari fitur produk",IF(N31&gt;'Spek Produk'!$F$20,"UP lebih besar dari fitur produk",IF(K31+L31/12&gt;'Spek Produk'!$I$22,"Masa asuransi lebih besar dari fitur produk",IF(AND(Q31+K31+L31/12&gt;'Spek Produk'!$H$24,Q31&lt;&gt;0,Q31&lt;&gt;""),"Maksimum masa asuransi untuk nasabah berusia "&amp;Q31&amp;" tahun adalah "&amp;MAX(0,'Spek Produk'!$H$24-Q31)&amp;" tahun",IF(AND(0&lt;K31+L31/12,K31+L31/12&lt;'Spek Produk'!$G$22),"Masa asuransi lebih kecil dari fitur produk"," ")))))),IF(AND(Q31&gt;'Spek Produk'!$I$35,Q31&lt;&gt;""),"Usia masuk lebih besar dari fitur produk",IF(AND(Q31&lt;'Spek Produk'!$G$35,Q31&lt;&gt;0,Q31&lt;&gt;""),"Usia masuk lebih rendah dari fitur produk",IF(N31&gt;'Spek Produk'!$F$32,"UP lebih besar dari fitur produk",IF(K31+L31/12&gt;'Spek Produk'!$I$34,"Masa asuransi lebih besar dari fitur produk",IF(AND(Q31+K31+L31/12&gt;'Spek Produk'!$H$36,Q31&lt;&gt;0,Q31&lt;&gt;""),"Maksimum masa asuransi untuk nasabah berusia "&amp;Q31&amp;" tahun adalah "&amp;MAX(0,'Spek Produk'!$H$36-Q31)&amp;" tahun",IF(AND(0&lt;K31+L31/12,K31+L31/12&lt;'Spek Produk'!$G$34),"Masa asuransi lebih Kecil dari fitur produk"," ")))))))</f>
        <v xml:space="preserve"> </v>
      </c>
      <c r="W31" s="77"/>
    </row>
    <row r="32" spans="1:23" x14ac:dyDescent="0.35">
      <c r="A32" s="43">
        <f t="shared" si="4"/>
        <v>27</v>
      </c>
      <c r="B32" s="34"/>
      <c r="C32" s="35"/>
      <c r="D32" s="34"/>
      <c r="E32" s="36"/>
      <c r="F32" s="33"/>
      <c r="G32" s="33"/>
      <c r="H32" s="37"/>
      <c r="I32" s="89"/>
      <c r="J32" s="89"/>
      <c r="K32" s="33"/>
      <c r="L32" s="33"/>
      <c r="M32" s="33"/>
      <c r="N32" s="38"/>
      <c r="P32" s="83">
        <v>0</v>
      </c>
      <c r="Q32" s="39">
        <f t="shared" si="1"/>
        <v>0</v>
      </c>
      <c r="R32" s="40" t="str">
        <f>IF(V32&lt;&gt;" ",V32,IFERROR(VLOOKUP(Q32,IF('Spek Produk'!$F$9="Syariah",Medic!$A$21:$L$27,Medic!$A$12:$L$18),MATCH(N32,IF('Spek Produk'!$F$9="Syariah",Medic!$B$21:$L$21,Medic!$B$12:$L$12),TRUE)+1),""))</f>
        <v/>
      </c>
      <c r="S32" s="92" t="str">
        <f t="shared" si="0"/>
        <v/>
      </c>
      <c r="T32" s="41" t="str">
        <f t="shared" si="2"/>
        <v/>
      </c>
      <c r="U32" s="92" t="str">
        <f t="shared" si="3"/>
        <v/>
      </c>
      <c r="V32" s="77" t="str">
        <f>IF(M32="Menurun",IF(AND(Q32&gt;'Spek Produk'!$I$23,Q32&lt;&gt;""),"Usia masuk lebih besar dari fitur produk",IF(AND(Q32&lt;'Spek Produk'!$G$23,Q32&lt;&gt;0,Q32&lt;&gt;""),"Usia masuk lebih rendah dari fitur produk",IF(N32&gt;'Spek Produk'!$F$20,"UP lebih besar dari fitur produk",IF(K32+L32/12&gt;'Spek Produk'!$I$22,"Masa asuransi lebih besar dari fitur produk",IF(AND(Q32+K32+L32/12&gt;'Spek Produk'!$H$24,Q32&lt;&gt;0,Q32&lt;&gt;""),"Maksimum masa asuransi untuk nasabah berusia "&amp;Q32&amp;" tahun adalah "&amp;MAX(0,'Spek Produk'!$H$24-Q32)&amp;" tahun",IF(AND(0&lt;K32+L32/12,K32+L32/12&lt;'Spek Produk'!$G$22),"Masa asuransi lebih kecil dari fitur produk"," ")))))),IF(AND(Q32&gt;'Spek Produk'!$I$35,Q32&lt;&gt;""),"Usia masuk lebih besar dari fitur produk",IF(AND(Q32&lt;'Spek Produk'!$G$35,Q32&lt;&gt;0,Q32&lt;&gt;""),"Usia masuk lebih rendah dari fitur produk",IF(N32&gt;'Spek Produk'!$F$32,"UP lebih besar dari fitur produk",IF(K32+L32/12&gt;'Spek Produk'!$I$34,"Masa asuransi lebih besar dari fitur produk",IF(AND(Q32+K32+L32/12&gt;'Spek Produk'!$H$36,Q32&lt;&gt;0,Q32&lt;&gt;""),"Maksimum masa asuransi untuk nasabah berusia "&amp;Q32&amp;" tahun adalah "&amp;MAX(0,'Spek Produk'!$H$36-Q32)&amp;" tahun",IF(AND(0&lt;K32+L32/12,K32+L32/12&lt;'Spek Produk'!$G$34),"Masa asuransi lebih Kecil dari fitur produk"," ")))))))</f>
        <v xml:space="preserve"> </v>
      </c>
      <c r="W32" s="77"/>
    </row>
    <row r="33" spans="1:23" x14ac:dyDescent="0.35">
      <c r="A33" s="43">
        <f t="shared" si="4"/>
        <v>28</v>
      </c>
      <c r="B33" s="34"/>
      <c r="C33" s="35"/>
      <c r="D33" s="34"/>
      <c r="E33" s="36"/>
      <c r="F33" s="33"/>
      <c r="G33" s="33"/>
      <c r="H33" s="37"/>
      <c r="I33" s="89"/>
      <c r="J33" s="89"/>
      <c r="K33" s="33"/>
      <c r="L33" s="33"/>
      <c r="M33" s="33"/>
      <c r="N33" s="38"/>
      <c r="P33" s="83">
        <v>0</v>
      </c>
      <c r="Q33" s="39">
        <f t="shared" si="1"/>
        <v>0</v>
      </c>
      <c r="R33" s="40" t="str">
        <f>IF(V33&lt;&gt;" ",V33,IFERROR(VLOOKUP(Q33,IF('Spek Produk'!$F$9="Syariah",Medic!$A$21:$L$27,Medic!$A$12:$L$18),MATCH(N33,IF('Spek Produk'!$F$9="Syariah",Medic!$B$21:$L$21,Medic!$B$12:$L$12),TRUE)+1),""))</f>
        <v/>
      </c>
      <c r="S33" s="92" t="str">
        <f t="shared" si="0"/>
        <v/>
      </c>
      <c r="T33" s="41" t="str">
        <f t="shared" si="2"/>
        <v/>
      </c>
      <c r="U33" s="92" t="str">
        <f t="shared" si="3"/>
        <v/>
      </c>
      <c r="V33" s="77" t="str">
        <f>IF(M33="Menurun",IF(AND(Q33&gt;'Spek Produk'!$I$23,Q33&lt;&gt;""),"Usia masuk lebih besar dari fitur produk",IF(AND(Q33&lt;'Spek Produk'!$G$23,Q33&lt;&gt;0,Q33&lt;&gt;""),"Usia masuk lebih rendah dari fitur produk",IF(N33&gt;'Spek Produk'!$F$20,"UP lebih besar dari fitur produk",IF(K33+L33/12&gt;'Spek Produk'!$I$22,"Masa asuransi lebih besar dari fitur produk",IF(AND(Q33+K33+L33/12&gt;'Spek Produk'!$H$24,Q33&lt;&gt;0,Q33&lt;&gt;""),"Maksimum masa asuransi untuk nasabah berusia "&amp;Q33&amp;" tahun adalah "&amp;MAX(0,'Spek Produk'!$H$24-Q33)&amp;" tahun",IF(AND(0&lt;K33+L33/12,K33+L33/12&lt;'Spek Produk'!$G$22),"Masa asuransi lebih kecil dari fitur produk"," ")))))),IF(AND(Q33&gt;'Spek Produk'!$I$35,Q33&lt;&gt;""),"Usia masuk lebih besar dari fitur produk",IF(AND(Q33&lt;'Spek Produk'!$G$35,Q33&lt;&gt;0,Q33&lt;&gt;""),"Usia masuk lebih rendah dari fitur produk",IF(N33&gt;'Spek Produk'!$F$32,"UP lebih besar dari fitur produk",IF(K33+L33/12&gt;'Spek Produk'!$I$34,"Masa asuransi lebih besar dari fitur produk",IF(AND(Q33+K33+L33/12&gt;'Spek Produk'!$H$36,Q33&lt;&gt;0,Q33&lt;&gt;""),"Maksimum masa asuransi untuk nasabah berusia "&amp;Q33&amp;" tahun adalah "&amp;MAX(0,'Spek Produk'!$H$36-Q33)&amp;" tahun",IF(AND(0&lt;K33+L33/12,K33+L33/12&lt;'Spek Produk'!$G$34),"Masa asuransi lebih Kecil dari fitur produk"," ")))))))</f>
        <v xml:space="preserve"> </v>
      </c>
      <c r="W33" s="77"/>
    </row>
    <row r="34" spans="1:23" x14ac:dyDescent="0.35">
      <c r="A34" s="43">
        <f t="shared" si="4"/>
        <v>29</v>
      </c>
      <c r="B34" s="34"/>
      <c r="C34" s="35"/>
      <c r="D34" s="34"/>
      <c r="E34" s="36"/>
      <c r="F34" s="33"/>
      <c r="G34" s="33"/>
      <c r="H34" s="37"/>
      <c r="I34" s="89"/>
      <c r="J34" s="89"/>
      <c r="K34" s="33"/>
      <c r="L34" s="33"/>
      <c r="M34" s="33"/>
      <c r="N34" s="38"/>
      <c r="P34" s="83">
        <v>0</v>
      </c>
      <c r="Q34" s="39">
        <f t="shared" si="1"/>
        <v>0</v>
      </c>
      <c r="R34" s="40" t="str">
        <f>IF(V34&lt;&gt;" ",V34,IFERROR(VLOOKUP(Q34,IF('Spek Produk'!$F$9="Syariah",Medic!$A$21:$L$27,Medic!$A$12:$L$18),MATCH(N34,IF('Spek Produk'!$F$9="Syariah",Medic!$B$21:$L$21,Medic!$B$12:$L$12),TRUE)+1),""))</f>
        <v/>
      </c>
      <c r="S34" s="92" t="str">
        <f t="shared" si="0"/>
        <v/>
      </c>
      <c r="T34" s="41" t="str">
        <f t="shared" si="2"/>
        <v/>
      </c>
      <c r="U34" s="92" t="str">
        <f t="shared" si="3"/>
        <v/>
      </c>
      <c r="V34" s="77" t="str">
        <f>IF(M34="Menurun",IF(AND(Q34&gt;'Spek Produk'!$I$23,Q34&lt;&gt;""),"Usia masuk lebih besar dari fitur produk",IF(AND(Q34&lt;'Spek Produk'!$G$23,Q34&lt;&gt;0,Q34&lt;&gt;""),"Usia masuk lebih rendah dari fitur produk",IF(N34&gt;'Spek Produk'!$F$20,"UP lebih besar dari fitur produk",IF(K34+L34/12&gt;'Spek Produk'!$I$22,"Masa asuransi lebih besar dari fitur produk",IF(AND(Q34+K34+L34/12&gt;'Spek Produk'!$H$24,Q34&lt;&gt;0,Q34&lt;&gt;""),"Maksimum masa asuransi untuk nasabah berusia "&amp;Q34&amp;" tahun adalah "&amp;MAX(0,'Spek Produk'!$H$24-Q34)&amp;" tahun",IF(AND(0&lt;K34+L34/12,K34+L34/12&lt;'Spek Produk'!$G$22),"Masa asuransi lebih kecil dari fitur produk"," ")))))),IF(AND(Q34&gt;'Spek Produk'!$I$35,Q34&lt;&gt;""),"Usia masuk lebih besar dari fitur produk",IF(AND(Q34&lt;'Spek Produk'!$G$35,Q34&lt;&gt;0,Q34&lt;&gt;""),"Usia masuk lebih rendah dari fitur produk",IF(N34&gt;'Spek Produk'!$F$32,"UP lebih besar dari fitur produk",IF(K34+L34/12&gt;'Spek Produk'!$I$34,"Masa asuransi lebih besar dari fitur produk",IF(AND(Q34+K34+L34/12&gt;'Spek Produk'!$H$36,Q34&lt;&gt;0,Q34&lt;&gt;""),"Maksimum masa asuransi untuk nasabah berusia "&amp;Q34&amp;" tahun adalah "&amp;MAX(0,'Spek Produk'!$H$36-Q34)&amp;" tahun",IF(AND(0&lt;K34+L34/12,K34+L34/12&lt;'Spek Produk'!$G$34),"Masa asuransi lebih Kecil dari fitur produk"," ")))))))</f>
        <v xml:space="preserve"> </v>
      </c>
      <c r="W34" s="77"/>
    </row>
    <row r="35" spans="1:23" x14ac:dyDescent="0.35">
      <c r="A35" s="43">
        <f t="shared" si="4"/>
        <v>30</v>
      </c>
      <c r="B35" s="34"/>
      <c r="C35" s="35"/>
      <c r="D35" s="34"/>
      <c r="E35" s="36"/>
      <c r="F35" s="33"/>
      <c r="G35" s="33"/>
      <c r="H35" s="37"/>
      <c r="I35" s="89"/>
      <c r="J35" s="89"/>
      <c r="K35" s="33"/>
      <c r="L35" s="33"/>
      <c r="M35" s="33"/>
      <c r="N35" s="38"/>
      <c r="P35" s="83">
        <v>0</v>
      </c>
      <c r="Q35" s="39">
        <f t="shared" si="1"/>
        <v>0</v>
      </c>
      <c r="R35" s="40" t="str">
        <f>IF(V35&lt;&gt;" ",V35,IFERROR(VLOOKUP(Q35,IF('Spek Produk'!$F$9="Syariah",Medic!$A$21:$L$27,Medic!$A$12:$L$18),MATCH(N35,IF('Spek Produk'!$F$9="Syariah",Medic!$B$21:$L$21,Medic!$B$12:$L$12),TRUE)+1),""))</f>
        <v/>
      </c>
      <c r="S35" s="92" t="str">
        <f t="shared" si="0"/>
        <v/>
      </c>
      <c r="T35" s="41" t="str">
        <f t="shared" si="2"/>
        <v/>
      </c>
      <c r="U35" s="92" t="str">
        <f t="shared" si="3"/>
        <v/>
      </c>
      <c r="V35" s="77" t="str">
        <f>IF(M35="Menurun",IF(AND(Q35&gt;'Spek Produk'!$I$23,Q35&lt;&gt;""),"Usia masuk lebih besar dari fitur produk",IF(AND(Q35&lt;'Spek Produk'!$G$23,Q35&lt;&gt;0,Q35&lt;&gt;""),"Usia masuk lebih rendah dari fitur produk",IF(N35&gt;'Spek Produk'!$F$20,"UP lebih besar dari fitur produk",IF(K35+L35/12&gt;'Spek Produk'!$I$22,"Masa asuransi lebih besar dari fitur produk",IF(AND(Q35+K35+L35/12&gt;'Spek Produk'!$H$24,Q35&lt;&gt;0,Q35&lt;&gt;""),"Maksimum masa asuransi untuk nasabah berusia "&amp;Q35&amp;" tahun adalah "&amp;MAX(0,'Spek Produk'!$H$24-Q35)&amp;" tahun",IF(AND(0&lt;K35+L35/12,K35+L35/12&lt;'Spek Produk'!$G$22),"Masa asuransi lebih kecil dari fitur produk"," ")))))),IF(AND(Q35&gt;'Spek Produk'!$I$35,Q35&lt;&gt;""),"Usia masuk lebih besar dari fitur produk",IF(AND(Q35&lt;'Spek Produk'!$G$35,Q35&lt;&gt;0,Q35&lt;&gt;""),"Usia masuk lebih rendah dari fitur produk",IF(N35&gt;'Spek Produk'!$F$32,"UP lebih besar dari fitur produk",IF(K35+L35/12&gt;'Spek Produk'!$I$34,"Masa asuransi lebih besar dari fitur produk",IF(AND(Q35+K35+L35/12&gt;'Spek Produk'!$H$36,Q35&lt;&gt;0,Q35&lt;&gt;""),"Maksimum masa asuransi untuk nasabah berusia "&amp;Q35&amp;" tahun adalah "&amp;MAX(0,'Spek Produk'!$H$36-Q35)&amp;" tahun",IF(AND(0&lt;K35+L35/12,K35+L35/12&lt;'Spek Produk'!$G$34),"Masa asuransi lebih Kecil dari fitur produk"," ")))))))</f>
        <v xml:space="preserve"> </v>
      </c>
      <c r="W35" s="77"/>
    </row>
    <row r="36" spans="1:23" x14ac:dyDescent="0.35">
      <c r="A36" s="43">
        <f t="shared" si="4"/>
        <v>31</v>
      </c>
      <c r="B36" s="34"/>
      <c r="C36" s="35"/>
      <c r="D36" s="34"/>
      <c r="E36" s="36"/>
      <c r="F36" s="33"/>
      <c r="G36" s="33"/>
      <c r="H36" s="37"/>
      <c r="I36" s="89"/>
      <c r="J36" s="89"/>
      <c r="K36" s="33"/>
      <c r="L36" s="33"/>
      <c r="M36" s="33"/>
      <c r="N36" s="38"/>
      <c r="P36" s="83">
        <v>0</v>
      </c>
      <c r="Q36" s="39">
        <f t="shared" si="1"/>
        <v>0</v>
      </c>
      <c r="R36" s="40" t="str">
        <f>IF(V36&lt;&gt;" ",V36,IFERROR(VLOOKUP(Q36,IF('Spek Produk'!$F$9="Syariah",Medic!$A$21:$L$27,Medic!$A$12:$L$18),MATCH(N36,IF('Spek Produk'!$F$9="Syariah",Medic!$B$21:$L$21,Medic!$B$12:$L$12),TRUE)+1),""))</f>
        <v/>
      </c>
      <c r="S36" s="92" t="str">
        <f t="shared" si="0"/>
        <v/>
      </c>
      <c r="T36" s="41" t="str">
        <f t="shared" si="2"/>
        <v/>
      </c>
      <c r="U36" s="92" t="str">
        <f t="shared" si="3"/>
        <v/>
      </c>
      <c r="V36" s="77" t="str">
        <f>IF(M36="Menurun",IF(AND(Q36&gt;'Spek Produk'!$I$23,Q36&lt;&gt;""),"Usia masuk lebih besar dari fitur produk",IF(AND(Q36&lt;'Spek Produk'!$G$23,Q36&lt;&gt;0,Q36&lt;&gt;""),"Usia masuk lebih rendah dari fitur produk",IF(N36&gt;'Spek Produk'!$F$20,"UP lebih besar dari fitur produk",IF(K36+L36/12&gt;'Spek Produk'!$I$22,"Masa asuransi lebih besar dari fitur produk",IF(AND(Q36+K36+L36/12&gt;'Spek Produk'!$H$24,Q36&lt;&gt;0,Q36&lt;&gt;""),"Maksimum masa asuransi untuk nasabah berusia "&amp;Q36&amp;" tahun adalah "&amp;MAX(0,'Spek Produk'!$H$24-Q36)&amp;" tahun",IF(AND(0&lt;K36+L36/12,K36+L36/12&lt;'Spek Produk'!$G$22),"Masa asuransi lebih kecil dari fitur produk"," ")))))),IF(AND(Q36&gt;'Spek Produk'!$I$35,Q36&lt;&gt;""),"Usia masuk lebih besar dari fitur produk",IF(AND(Q36&lt;'Spek Produk'!$G$35,Q36&lt;&gt;0,Q36&lt;&gt;""),"Usia masuk lebih rendah dari fitur produk",IF(N36&gt;'Spek Produk'!$F$32,"UP lebih besar dari fitur produk",IF(K36+L36/12&gt;'Spek Produk'!$I$34,"Masa asuransi lebih besar dari fitur produk",IF(AND(Q36+K36+L36/12&gt;'Spek Produk'!$H$36,Q36&lt;&gt;0,Q36&lt;&gt;""),"Maksimum masa asuransi untuk nasabah berusia "&amp;Q36&amp;" tahun adalah "&amp;MAX(0,'Spek Produk'!$H$36-Q36)&amp;" tahun",IF(AND(0&lt;K36+L36/12,K36+L36/12&lt;'Spek Produk'!$G$34),"Masa asuransi lebih Kecil dari fitur produk"," ")))))))</f>
        <v xml:space="preserve"> </v>
      </c>
      <c r="W36" s="77"/>
    </row>
    <row r="37" spans="1:23" x14ac:dyDescent="0.35">
      <c r="A37" s="43">
        <f t="shared" si="4"/>
        <v>32</v>
      </c>
      <c r="B37" s="34"/>
      <c r="C37" s="35"/>
      <c r="D37" s="34"/>
      <c r="E37" s="36"/>
      <c r="F37" s="33"/>
      <c r="G37" s="33"/>
      <c r="H37" s="37"/>
      <c r="I37" s="89"/>
      <c r="J37" s="89"/>
      <c r="K37" s="33"/>
      <c r="L37" s="33"/>
      <c r="M37" s="33"/>
      <c r="N37" s="38"/>
      <c r="P37" s="83">
        <v>0</v>
      </c>
      <c r="Q37" s="39">
        <f t="shared" si="1"/>
        <v>0</v>
      </c>
      <c r="R37" s="40" t="str">
        <f>IF(V37&lt;&gt;" ",V37,IFERROR(VLOOKUP(Q37,IF('Spek Produk'!$F$9="Syariah",Medic!$A$21:$L$27,Medic!$A$12:$L$18),MATCH(N37,IF('Spek Produk'!$F$9="Syariah",Medic!$B$21:$L$21,Medic!$B$12:$L$12),TRUE)+1),""))</f>
        <v/>
      </c>
      <c r="S37" s="92" t="str">
        <f t="shared" si="0"/>
        <v/>
      </c>
      <c r="T37" s="41" t="str">
        <f t="shared" si="2"/>
        <v/>
      </c>
      <c r="U37" s="92" t="str">
        <f t="shared" si="3"/>
        <v/>
      </c>
      <c r="V37" s="77" t="str">
        <f>IF(M37="Menurun",IF(AND(Q37&gt;'Spek Produk'!$I$23,Q37&lt;&gt;""),"Usia masuk lebih besar dari fitur produk",IF(AND(Q37&lt;'Spek Produk'!$G$23,Q37&lt;&gt;0,Q37&lt;&gt;""),"Usia masuk lebih rendah dari fitur produk",IF(N37&gt;'Spek Produk'!$F$20,"UP lebih besar dari fitur produk",IF(K37+L37/12&gt;'Spek Produk'!$I$22,"Masa asuransi lebih besar dari fitur produk",IF(AND(Q37+K37+L37/12&gt;'Spek Produk'!$H$24,Q37&lt;&gt;0,Q37&lt;&gt;""),"Maksimum masa asuransi untuk nasabah berusia "&amp;Q37&amp;" tahun adalah "&amp;MAX(0,'Spek Produk'!$H$24-Q37)&amp;" tahun",IF(AND(0&lt;K37+L37/12,K37+L37/12&lt;'Spek Produk'!$G$22),"Masa asuransi lebih kecil dari fitur produk"," ")))))),IF(AND(Q37&gt;'Spek Produk'!$I$35,Q37&lt;&gt;""),"Usia masuk lebih besar dari fitur produk",IF(AND(Q37&lt;'Spek Produk'!$G$35,Q37&lt;&gt;0,Q37&lt;&gt;""),"Usia masuk lebih rendah dari fitur produk",IF(N37&gt;'Spek Produk'!$F$32,"UP lebih besar dari fitur produk",IF(K37+L37/12&gt;'Spek Produk'!$I$34,"Masa asuransi lebih besar dari fitur produk",IF(AND(Q37+K37+L37/12&gt;'Spek Produk'!$H$36,Q37&lt;&gt;0,Q37&lt;&gt;""),"Maksimum masa asuransi untuk nasabah berusia "&amp;Q37&amp;" tahun adalah "&amp;MAX(0,'Spek Produk'!$H$36-Q37)&amp;" tahun",IF(AND(0&lt;K37+L37/12,K37+L37/12&lt;'Spek Produk'!$G$34),"Masa asuransi lebih Kecil dari fitur produk"," ")))))))</f>
        <v xml:space="preserve"> </v>
      </c>
      <c r="W37" s="77"/>
    </row>
    <row r="38" spans="1:23" x14ac:dyDescent="0.35">
      <c r="A38" s="43">
        <f t="shared" si="4"/>
        <v>33</v>
      </c>
      <c r="B38" s="34"/>
      <c r="C38" s="35"/>
      <c r="D38" s="34"/>
      <c r="E38" s="36"/>
      <c r="F38" s="33"/>
      <c r="G38" s="33"/>
      <c r="H38" s="37"/>
      <c r="I38" s="89"/>
      <c r="J38" s="89"/>
      <c r="K38" s="33"/>
      <c r="L38" s="33"/>
      <c r="M38" s="33"/>
      <c r="N38" s="38"/>
      <c r="P38" s="83">
        <v>0</v>
      </c>
      <c r="Q38" s="39">
        <f t="shared" si="1"/>
        <v>0</v>
      </c>
      <c r="R38" s="40" t="str">
        <f>IF(V38&lt;&gt;" ",V38,IFERROR(VLOOKUP(Q38,IF('Spek Produk'!$F$9="Syariah",Medic!$A$21:$L$27,Medic!$A$12:$L$18),MATCH(N38,IF('Spek Produk'!$F$9="Syariah",Medic!$B$21:$L$21,Medic!$B$12:$L$12),TRUE)+1),""))</f>
        <v/>
      </c>
      <c r="S38" s="92" t="str">
        <f t="shared" ref="S38:S55" si="5">IF(V38&lt;&gt;" ",V38,IF(N38="","",IFERROR(IF(Q38=0,0,ROUND(IF(K38*12+L38&lt;12,VLOOKUP(K38*12+L38,Faktor_Multiplier,2,FALSE)*VLOOKUP(Q38,IF(M38="Menurun",Premium_Table_Dec,Premium_Table_Flat),2,FALSE),VLOOKUP(Q38,IF(M38="Menurun",Premium_Table_Dec,Premium_Table_Flat),K38+1,FALSE)+IFERROR((VLOOKUP(Q38,IF(M38="Menurun",Premium_Table_Dec,Premium_Table_Flat),K38+2,FALSE)-VLOOKUP(Q38,IF(M38="Menurun",Premium_Table_Dec,Premium_Table_Flat),K38+1,FALSE)),0)*L38/12),2)*N38/1000),"Perhatikan Ketentuan Usia + Masa Asuransi")))</f>
        <v/>
      </c>
      <c r="T38" s="41" t="str">
        <f t="shared" si="2"/>
        <v/>
      </c>
      <c r="U38" s="92" t="str">
        <f t="shared" si="3"/>
        <v/>
      </c>
      <c r="V38" s="77" t="str">
        <f>IF(M38="Menurun",IF(AND(Q38&gt;'Spek Produk'!$I$23,Q38&lt;&gt;""),"Usia masuk lebih besar dari fitur produk",IF(AND(Q38&lt;'Spek Produk'!$G$23,Q38&lt;&gt;0,Q38&lt;&gt;""),"Usia masuk lebih rendah dari fitur produk",IF(N38&gt;'Spek Produk'!$F$20,"UP lebih besar dari fitur produk",IF(K38+L38/12&gt;'Spek Produk'!$I$22,"Masa asuransi lebih besar dari fitur produk",IF(AND(Q38+K38+L38/12&gt;'Spek Produk'!$H$24,Q38&lt;&gt;0,Q38&lt;&gt;""),"Maksimum masa asuransi untuk nasabah berusia "&amp;Q38&amp;" tahun adalah "&amp;MAX(0,'Spek Produk'!$H$24-Q38)&amp;" tahun",IF(AND(0&lt;K38+L38/12,K38+L38/12&lt;'Spek Produk'!$G$22),"Masa asuransi lebih kecil dari fitur produk"," ")))))),IF(AND(Q38&gt;'Spek Produk'!$I$35,Q38&lt;&gt;""),"Usia masuk lebih besar dari fitur produk",IF(AND(Q38&lt;'Spek Produk'!$G$35,Q38&lt;&gt;0,Q38&lt;&gt;""),"Usia masuk lebih rendah dari fitur produk",IF(N38&gt;'Spek Produk'!$F$32,"UP lebih besar dari fitur produk",IF(K38+L38/12&gt;'Spek Produk'!$I$34,"Masa asuransi lebih besar dari fitur produk",IF(AND(Q38+K38+L38/12&gt;'Spek Produk'!$H$36,Q38&lt;&gt;0,Q38&lt;&gt;""),"Maksimum masa asuransi untuk nasabah berusia "&amp;Q38&amp;" tahun adalah "&amp;MAX(0,'Spek Produk'!$H$36-Q38)&amp;" tahun",IF(AND(0&lt;K38+L38/12,K38+L38/12&lt;'Spek Produk'!$G$34),"Masa asuransi lebih Kecil dari fitur produk"," ")))))))</f>
        <v xml:space="preserve"> </v>
      </c>
      <c r="W38" s="77"/>
    </row>
    <row r="39" spans="1:23" x14ac:dyDescent="0.35">
      <c r="A39" s="43">
        <f t="shared" si="4"/>
        <v>34</v>
      </c>
      <c r="B39" s="34"/>
      <c r="C39" s="35"/>
      <c r="D39" s="34"/>
      <c r="E39" s="36"/>
      <c r="F39" s="33"/>
      <c r="G39" s="33"/>
      <c r="H39" s="37"/>
      <c r="I39" s="89"/>
      <c r="J39" s="89"/>
      <c r="K39" s="33"/>
      <c r="L39" s="33"/>
      <c r="M39" s="33"/>
      <c r="N39" s="38"/>
      <c r="P39" s="83">
        <v>0</v>
      </c>
      <c r="Q39" s="39">
        <f t="shared" si="1"/>
        <v>0</v>
      </c>
      <c r="R39" s="40" t="str">
        <f>IF(V39&lt;&gt;" ",V39,IFERROR(VLOOKUP(Q39,IF('Spek Produk'!$F$9="Syariah",Medic!$A$21:$L$27,Medic!$A$12:$L$18),MATCH(N39,IF('Spek Produk'!$F$9="Syariah",Medic!$B$21:$L$21,Medic!$B$12:$L$12),TRUE)+1),""))</f>
        <v/>
      </c>
      <c r="S39" s="92" t="str">
        <f t="shared" si="5"/>
        <v/>
      </c>
      <c r="T39" s="41" t="str">
        <f t="shared" si="2"/>
        <v/>
      </c>
      <c r="U39" s="92" t="str">
        <f t="shared" si="3"/>
        <v/>
      </c>
      <c r="V39" s="77" t="str">
        <f>IF(M39="Menurun",IF(AND(Q39&gt;'Spek Produk'!$I$23,Q39&lt;&gt;""),"Usia masuk lebih besar dari fitur produk",IF(AND(Q39&lt;'Spek Produk'!$G$23,Q39&lt;&gt;0,Q39&lt;&gt;""),"Usia masuk lebih rendah dari fitur produk",IF(N39&gt;'Spek Produk'!$F$20,"UP lebih besar dari fitur produk",IF(K39+L39/12&gt;'Spek Produk'!$I$22,"Masa asuransi lebih besar dari fitur produk",IF(AND(Q39+K39+L39/12&gt;'Spek Produk'!$H$24,Q39&lt;&gt;0,Q39&lt;&gt;""),"Maksimum masa asuransi untuk nasabah berusia "&amp;Q39&amp;" tahun adalah "&amp;MAX(0,'Spek Produk'!$H$24-Q39)&amp;" tahun",IF(AND(0&lt;K39+L39/12,K39+L39/12&lt;'Spek Produk'!$G$22),"Masa asuransi lebih kecil dari fitur produk"," ")))))),IF(AND(Q39&gt;'Spek Produk'!$I$35,Q39&lt;&gt;""),"Usia masuk lebih besar dari fitur produk",IF(AND(Q39&lt;'Spek Produk'!$G$35,Q39&lt;&gt;0,Q39&lt;&gt;""),"Usia masuk lebih rendah dari fitur produk",IF(N39&gt;'Spek Produk'!$F$32,"UP lebih besar dari fitur produk",IF(K39+L39/12&gt;'Spek Produk'!$I$34,"Masa asuransi lebih besar dari fitur produk",IF(AND(Q39+K39+L39/12&gt;'Spek Produk'!$H$36,Q39&lt;&gt;0,Q39&lt;&gt;""),"Maksimum masa asuransi untuk nasabah berusia "&amp;Q39&amp;" tahun adalah "&amp;MAX(0,'Spek Produk'!$H$36-Q39)&amp;" tahun",IF(AND(0&lt;K39+L39/12,K39+L39/12&lt;'Spek Produk'!$G$34),"Masa asuransi lebih Kecil dari fitur produk"," ")))))))</f>
        <v xml:space="preserve"> </v>
      </c>
      <c r="W39" s="77"/>
    </row>
    <row r="40" spans="1:23" x14ac:dyDescent="0.35">
      <c r="A40" s="43">
        <f t="shared" si="4"/>
        <v>35</v>
      </c>
      <c r="B40" s="34"/>
      <c r="C40" s="35"/>
      <c r="D40" s="34"/>
      <c r="E40" s="36"/>
      <c r="F40" s="33"/>
      <c r="G40" s="33"/>
      <c r="H40" s="37"/>
      <c r="I40" s="89"/>
      <c r="J40" s="89"/>
      <c r="K40" s="33"/>
      <c r="L40" s="33"/>
      <c r="M40" s="33"/>
      <c r="N40" s="38"/>
      <c r="P40" s="83">
        <v>0</v>
      </c>
      <c r="Q40" s="39">
        <f t="shared" si="1"/>
        <v>0</v>
      </c>
      <c r="R40" s="40" t="str">
        <f>IF(V40&lt;&gt;" ",V40,IFERROR(VLOOKUP(Q40,IF('Spek Produk'!$F$9="Syariah",Medic!$A$21:$L$27,Medic!$A$12:$L$18),MATCH(N40,IF('Spek Produk'!$F$9="Syariah",Medic!$B$21:$L$21,Medic!$B$12:$L$12),TRUE)+1),""))</f>
        <v/>
      </c>
      <c r="S40" s="92" t="str">
        <f t="shared" si="5"/>
        <v/>
      </c>
      <c r="T40" s="41" t="str">
        <f t="shared" si="2"/>
        <v/>
      </c>
      <c r="U40" s="92" t="str">
        <f t="shared" si="3"/>
        <v/>
      </c>
      <c r="V40" s="77" t="str">
        <f>IF(M40="Menurun",IF(AND(Q40&gt;'Spek Produk'!$I$23,Q40&lt;&gt;""),"Usia masuk lebih besar dari fitur produk",IF(AND(Q40&lt;'Spek Produk'!$G$23,Q40&lt;&gt;0,Q40&lt;&gt;""),"Usia masuk lebih rendah dari fitur produk",IF(N40&gt;'Spek Produk'!$F$20,"UP lebih besar dari fitur produk",IF(K40+L40/12&gt;'Spek Produk'!$I$22,"Masa asuransi lebih besar dari fitur produk",IF(AND(Q40+K40+L40/12&gt;'Spek Produk'!$H$24,Q40&lt;&gt;0,Q40&lt;&gt;""),"Maksimum masa asuransi untuk nasabah berusia "&amp;Q40&amp;" tahun adalah "&amp;MAX(0,'Spek Produk'!$H$24-Q40)&amp;" tahun",IF(AND(0&lt;K40+L40/12,K40+L40/12&lt;'Spek Produk'!$G$22),"Masa asuransi lebih kecil dari fitur produk"," ")))))),IF(AND(Q40&gt;'Spek Produk'!$I$35,Q40&lt;&gt;""),"Usia masuk lebih besar dari fitur produk",IF(AND(Q40&lt;'Spek Produk'!$G$35,Q40&lt;&gt;0,Q40&lt;&gt;""),"Usia masuk lebih rendah dari fitur produk",IF(N40&gt;'Spek Produk'!$F$32,"UP lebih besar dari fitur produk",IF(K40+L40/12&gt;'Spek Produk'!$I$34,"Masa asuransi lebih besar dari fitur produk",IF(AND(Q40+K40+L40/12&gt;'Spek Produk'!$H$36,Q40&lt;&gt;0,Q40&lt;&gt;""),"Maksimum masa asuransi untuk nasabah berusia "&amp;Q40&amp;" tahun adalah "&amp;MAX(0,'Spek Produk'!$H$36-Q40)&amp;" tahun",IF(AND(0&lt;K40+L40/12,K40+L40/12&lt;'Spek Produk'!$G$34),"Masa asuransi lebih Kecil dari fitur produk"," ")))))))</f>
        <v xml:space="preserve"> </v>
      </c>
      <c r="W40" s="77"/>
    </row>
    <row r="41" spans="1:23" x14ac:dyDescent="0.35">
      <c r="A41" s="43">
        <f t="shared" si="4"/>
        <v>36</v>
      </c>
      <c r="B41" s="34"/>
      <c r="C41" s="35"/>
      <c r="D41" s="34"/>
      <c r="E41" s="36"/>
      <c r="F41" s="33"/>
      <c r="G41" s="33"/>
      <c r="H41" s="37"/>
      <c r="I41" s="89"/>
      <c r="J41" s="89"/>
      <c r="K41" s="33"/>
      <c r="L41" s="33"/>
      <c r="M41" s="33"/>
      <c r="N41" s="38"/>
      <c r="P41" s="83">
        <v>0</v>
      </c>
      <c r="Q41" s="39">
        <f t="shared" si="1"/>
        <v>0</v>
      </c>
      <c r="R41" s="40" t="str">
        <f>IF(V41&lt;&gt;" ",V41,IFERROR(VLOOKUP(Q41,IF('Spek Produk'!$F$9="Syariah",Medic!$A$21:$L$27,Medic!$A$12:$L$18),MATCH(N41,IF('Spek Produk'!$F$9="Syariah",Medic!$B$21:$L$21,Medic!$B$12:$L$12),TRUE)+1),""))</f>
        <v/>
      </c>
      <c r="S41" s="92" t="str">
        <f t="shared" si="5"/>
        <v/>
      </c>
      <c r="T41" s="41" t="str">
        <f t="shared" si="2"/>
        <v/>
      </c>
      <c r="U41" s="92" t="str">
        <f t="shared" si="3"/>
        <v/>
      </c>
      <c r="V41" s="77" t="str">
        <f>IF(M41="Menurun",IF(AND(Q41&gt;'Spek Produk'!$I$23,Q41&lt;&gt;""),"Usia masuk lebih besar dari fitur produk",IF(AND(Q41&lt;'Spek Produk'!$G$23,Q41&lt;&gt;0,Q41&lt;&gt;""),"Usia masuk lebih rendah dari fitur produk",IF(N41&gt;'Spek Produk'!$F$20,"UP lebih besar dari fitur produk",IF(K41+L41/12&gt;'Spek Produk'!$I$22,"Masa asuransi lebih besar dari fitur produk",IF(AND(Q41+K41+L41/12&gt;'Spek Produk'!$H$24,Q41&lt;&gt;0,Q41&lt;&gt;""),"Maksimum masa asuransi untuk nasabah berusia "&amp;Q41&amp;" tahun adalah "&amp;MAX(0,'Spek Produk'!$H$24-Q41)&amp;" tahun",IF(AND(0&lt;K41+L41/12,K41+L41/12&lt;'Spek Produk'!$G$22),"Masa asuransi lebih kecil dari fitur produk"," ")))))),IF(AND(Q41&gt;'Spek Produk'!$I$35,Q41&lt;&gt;""),"Usia masuk lebih besar dari fitur produk",IF(AND(Q41&lt;'Spek Produk'!$G$35,Q41&lt;&gt;0,Q41&lt;&gt;""),"Usia masuk lebih rendah dari fitur produk",IF(N41&gt;'Spek Produk'!$F$32,"UP lebih besar dari fitur produk",IF(K41+L41/12&gt;'Spek Produk'!$I$34,"Masa asuransi lebih besar dari fitur produk",IF(AND(Q41+K41+L41/12&gt;'Spek Produk'!$H$36,Q41&lt;&gt;0,Q41&lt;&gt;""),"Maksimum masa asuransi untuk nasabah berusia "&amp;Q41&amp;" tahun adalah "&amp;MAX(0,'Spek Produk'!$H$36-Q41)&amp;" tahun",IF(AND(0&lt;K41+L41/12,K41+L41/12&lt;'Spek Produk'!$G$34),"Masa asuransi lebih Kecil dari fitur produk"," ")))))))</f>
        <v xml:space="preserve"> </v>
      </c>
      <c r="W41" s="77"/>
    </row>
    <row r="42" spans="1:23" x14ac:dyDescent="0.35">
      <c r="A42" s="43">
        <f t="shared" si="4"/>
        <v>37</v>
      </c>
      <c r="B42" s="34"/>
      <c r="C42" s="35"/>
      <c r="D42" s="34"/>
      <c r="E42" s="36"/>
      <c r="F42" s="33"/>
      <c r="G42" s="33"/>
      <c r="H42" s="37"/>
      <c r="I42" s="89"/>
      <c r="J42" s="89"/>
      <c r="K42" s="33"/>
      <c r="L42" s="33"/>
      <c r="M42" s="33"/>
      <c r="N42" s="38"/>
      <c r="P42" s="83">
        <v>0</v>
      </c>
      <c r="Q42" s="39">
        <f t="shared" si="1"/>
        <v>0</v>
      </c>
      <c r="R42" s="40" t="str">
        <f>IF(V42&lt;&gt;" ",V42,IFERROR(VLOOKUP(Q42,IF('Spek Produk'!$F$9="Syariah",Medic!$A$21:$L$27,Medic!$A$12:$L$18),MATCH(N42,IF('Spek Produk'!$F$9="Syariah",Medic!$B$21:$L$21,Medic!$B$12:$L$12),TRUE)+1),""))</f>
        <v/>
      </c>
      <c r="S42" s="92" t="str">
        <f t="shared" si="5"/>
        <v/>
      </c>
      <c r="T42" s="41" t="str">
        <f t="shared" si="2"/>
        <v/>
      </c>
      <c r="U42" s="92" t="str">
        <f t="shared" si="3"/>
        <v/>
      </c>
      <c r="V42" s="77" t="str">
        <f>IF(M42="Menurun",IF(AND(Q42&gt;'Spek Produk'!$I$23,Q42&lt;&gt;""),"Usia masuk lebih besar dari fitur produk",IF(AND(Q42&lt;'Spek Produk'!$G$23,Q42&lt;&gt;0,Q42&lt;&gt;""),"Usia masuk lebih rendah dari fitur produk",IF(N42&gt;'Spek Produk'!$F$20,"UP lebih besar dari fitur produk",IF(K42+L42/12&gt;'Spek Produk'!$I$22,"Masa asuransi lebih besar dari fitur produk",IF(AND(Q42+K42+L42/12&gt;'Spek Produk'!$H$24,Q42&lt;&gt;0,Q42&lt;&gt;""),"Maksimum masa asuransi untuk nasabah berusia "&amp;Q42&amp;" tahun adalah "&amp;MAX(0,'Spek Produk'!$H$24-Q42)&amp;" tahun",IF(AND(0&lt;K42+L42/12,K42+L42/12&lt;'Spek Produk'!$G$22),"Masa asuransi lebih kecil dari fitur produk"," ")))))),IF(AND(Q42&gt;'Spek Produk'!$I$35,Q42&lt;&gt;""),"Usia masuk lebih besar dari fitur produk",IF(AND(Q42&lt;'Spek Produk'!$G$35,Q42&lt;&gt;0,Q42&lt;&gt;""),"Usia masuk lebih rendah dari fitur produk",IF(N42&gt;'Spek Produk'!$F$32,"UP lebih besar dari fitur produk",IF(K42+L42/12&gt;'Spek Produk'!$I$34,"Masa asuransi lebih besar dari fitur produk",IF(AND(Q42+K42+L42/12&gt;'Spek Produk'!$H$36,Q42&lt;&gt;0,Q42&lt;&gt;""),"Maksimum masa asuransi untuk nasabah berusia "&amp;Q42&amp;" tahun adalah "&amp;MAX(0,'Spek Produk'!$H$36-Q42)&amp;" tahun",IF(AND(0&lt;K42+L42/12,K42+L42/12&lt;'Spek Produk'!$G$34),"Masa asuransi lebih Kecil dari fitur produk"," ")))))))</f>
        <v xml:space="preserve"> </v>
      </c>
      <c r="W42" s="77"/>
    </row>
    <row r="43" spans="1:23" x14ac:dyDescent="0.35">
      <c r="A43" s="43">
        <f t="shared" si="4"/>
        <v>38</v>
      </c>
      <c r="B43" s="34"/>
      <c r="C43" s="35"/>
      <c r="D43" s="34"/>
      <c r="E43" s="36"/>
      <c r="F43" s="33"/>
      <c r="G43" s="33"/>
      <c r="H43" s="37"/>
      <c r="I43" s="89"/>
      <c r="J43" s="89"/>
      <c r="K43" s="33"/>
      <c r="L43" s="33"/>
      <c r="M43" s="33"/>
      <c r="N43" s="38"/>
      <c r="P43" s="83">
        <v>0</v>
      </c>
      <c r="Q43" s="39">
        <f t="shared" si="1"/>
        <v>0</v>
      </c>
      <c r="R43" s="40" t="str">
        <f>IF(V43&lt;&gt;" ",V43,IFERROR(VLOOKUP(Q43,IF('Spek Produk'!$F$9="Syariah",Medic!$A$21:$L$27,Medic!$A$12:$L$18),MATCH(N43,IF('Spek Produk'!$F$9="Syariah",Medic!$B$21:$L$21,Medic!$B$12:$L$12),TRUE)+1),""))</f>
        <v/>
      </c>
      <c r="S43" s="92" t="str">
        <f t="shared" si="5"/>
        <v/>
      </c>
      <c r="T43" s="41" t="str">
        <f t="shared" si="2"/>
        <v/>
      </c>
      <c r="U43" s="92" t="str">
        <f t="shared" si="3"/>
        <v/>
      </c>
      <c r="V43" s="77" t="str">
        <f>IF(M43="Menurun",IF(AND(Q43&gt;'Spek Produk'!$I$23,Q43&lt;&gt;""),"Usia masuk lebih besar dari fitur produk",IF(AND(Q43&lt;'Spek Produk'!$G$23,Q43&lt;&gt;0,Q43&lt;&gt;""),"Usia masuk lebih rendah dari fitur produk",IF(N43&gt;'Spek Produk'!$F$20,"UP lebih besar dari fitur produk",IF(K43+L43/12&gt;'Spek Produk'!$I$22,"Masa asuransi lebih besar dari fitur produk",IF(AND(Q43+K43+L43/12&gt;'Spek Produk'!$H$24,Q43&lt;&gt;0,Q43&lt;&gt;""),"Maksimum masa asuransi untuk nasabah berusia "&amp;Q43&amp;" tahun adalah "&amp;MAX(0,'Spek Produk'!$H$24-Q43)&amp;" tahun",IF(AND(0&lt;K43+L43/12,K43+L43/12&lt;'Spek Produk'!$G$22),"Masa asuransi lebih kecil dari fitur produk"," ")))))),IF(AND(Q43&gt;'Spek Produk'!$I$35,Q43&lt;&gt;""),"Usia masuk lebih besar dari fitur produk",IF(AND(Q43&lt;'Spek Produk'!$G$35,Q43&lt;&gt;0,Q43&lt;&gt;""),"Usia masuk lebih rendah dari fitur produk",IF(N43&gt;'Spek Produk'!$F$32,"UP lebih besar dari fitur produk",IF(K43+L43/12&gt;'Spek Produk'!$I$34,"Masa asuransi lebih besar dari fitur produk",IF(AND(Q43+K43+L43/12&gt;'Spek Produk'!$H$36,Q43&lt;&gt;0,Q43&lt;&gt;""),"Maksimum masa asuransi untuk nasabah berusia "&amp;Q43&amp;" tahun adalah "&amp;MAX(0,'Spek Produk'!$H$36-Q43)&amp;" tahun",IF(AND(0&lt;K43+L43/12,K43+L43/12&lt;'Spek Produk'!$G$34),"Masa asuransi lebih Kecil dari fitur produk"," ")))))))</f>
        <v xml:space="preserve"> </v>
      </c>
      <c r="W43" s="77"/>
    </row>
    <row r="44" spans="1:23" x14ac:dyDescent="0.35">
      <c r="A44" s="43">
        <f t="shared" si="4"/>
        <v>39</v>
      </c>
      <c r="B44" s="34"/>
      <c r="C44" s="35"/>
      <c r="D44" s="34"/>
      <c r="E44" s="36"/>
      <c r="F44" s="33"/>
      <c r="G44" s="33"/>
      <c r="H44" s="37"/>
      <c r="I44" s="89"/>
      <c r="J44" s="89"/>
      <c r="K44" s="33"/>
      <c r="L44" s="33"/>
      <c r="M44" s="33"/>
      <c r="N44" s="38"/>
      <c r="P44" s="83">
        <v>0</v>
      </c>
      <c r="Q44" s="39">
        <f t="shared" si="1"/>
        <v>0</v>
      </c>
      <c r="R44" s="40" t="str">
        <f>IF(V44&lt;&gt;" ",V44,IFERROR(VLOOKUP(Q44,IF('Spek Produk'!$F$9="Syariah",Medic!$A$21:$L$27,Medic!$A$12:$L$18),MATCH(N44,IF('Spek Produk'!$F$9="Syariah",Medic!$B$21:$L$21,Medic!$B$12:$L$12),TRUE)+1),""))</f>
        <v/>
      </c>
      <c r="S44" s="92" t="str">
        <f t="shared" si="5"/>
        <v/>
      </c>
      <c r="T44" s="41" t="str">
        <f t="shared" si="2"/>
        <v/>
      </c>
      <c r="U44" s="92" t="str">
        <f t="shared" si="3"/>
        <v/>
      </c>
      <c r="V44" s="77" t="str">
        <f>IF(M44="Menurun",IF(AND(Q44&gt;'Spek Produk'!$I$23,Q44&lt;&gt;""),"Usia masuk lebih besar dari fitur produk",IF(AND(Q44&lt;'Spek Produk'!$G$23,Q44&lt;&gt;0,Q44&lt;&gt;""),"Usia masuk lebih rendah dari fitur produk",IF(N44&gt;'Spek Produk'!$F$20,"UP lebih besar dari fitur produk",IF(K44+L44/12&gt;'Spek Produk'!$I$22,"Masa asuransi lebih besar dari fitur produk",IF(AND(Q44+K44+L44/12&gt;'Spek Produk'!$H$24,Q44&lt;&gt;0,Q44&lt;&gt;""),"Maksimum masa asuransi untuk nasabah berusia "&amp;Q44&amp;" tahun adalah "&amp;MAX(0,'Spek Produk'!$H$24-Q44)&amp;" tahun",IF(AND(0&lt;K44+L44/12,K44+L44/12&lt;'Spek Produk'!$G$22),"Masa asuransi lebih kecil dari fitur produk"," ")))))),IF(AND(Q44&gt;'Spek Produk'!$I$35,Q44&lt;&gt;""),"Usia masuk lebih besar dari fitur produk",IF(AND(Q44&lt;'Spek Produk'!$G$35,Q44&lt;&gt;0,Q44&lt;&gt;""),"Usia masuk lebih rendah dari fitur produk",IF(N44&gt;'Spek Produk'!$F$32,"UP lebih besar dari fitur produk",IF(K44+L44/12&gt;'Spek Produk'!$I$34,"Masa asuransi lebih besar dari fitur produk",IF(AND(Q44+K44+L44/12&gt;'Spek Produk'!$H$36,Q44&lt;&gt;0,Q44&lt;&gt;""),"Maksimum masa asuransi untuk nasabah berusia "&amp;Q44&amp;" tahun adalah "&amp;MAX(0,'Spek Produk'!$H$36-Q44)&amp;" tahun",IF(AND(0&lt;K44+L44/12,K44+L44/12&lt;'Spek Produk'!$G$34),"Masa asuransi lebih Kecil dari fitur produk"," ")))))))</f>
        <v xml:space="preserve"> </v>
      </c>
      <c r="W44" s="77"/>
    </row>
    <row r="45" spans="1:23" x14ac:dyDescent="0.35">
      <c r="A45" s="43">
        <f t="shared" si="4"/>
        <v>40</v>
      </c>
      <c r="B45" s="34"/>
      <c r="C45" s="35"/>
      <c r="D45" s="34"/>
      <c r="E45" s="36"/>
      <c r="F45" s="33"/>
      <c r="G45" s="33"/>
      <c r="H45" s="37"/>
      <c r="I45" s="89"/>
      <c r="J45" s="89"/>
      <c r="K45" s="33"/>
      <c r="L45" s="33"/>
      <c r="M45" s="33"/>
      <c r="N45" s="38"/>
      <c r="P45" s="83">
        <v>0</v>
      </c>
      <c r="Q45" s="39">
        <f t="shared" si="1"/>
        <v>0</v>
      </c>
      <c r="R45" s="40" t="str">
        <f>IF(V45&lt;&gt;" ",V45,IFERROR(VLOOKUP(Q45,IF('Spek Produk'!$F$9="Syariah",Medic!$A$21:$L$27,Medic!$A$12:$L$18),MATCH(N45,IF('Spek Produk'!$F$9="Syariah",Medic!$B$21:$L$21,Medic!$B$12:$L$12),TRUE)+1),""))</f>
        <v/>
      </c>
      <c r="S45" s="92" t="str">
        <f t="shared" si="5"/>
        <v/>
      </c>
      <c r="T45" s="41" t="str">
        <f t="shared" si="2"/>
        <v/>
      </c>
      <c r="U45" s="92" t="str">
        <f t="shared" si="3"/>
        <v/>
      </c>
      <c r="V45" s="77" t="str">
        <f>IF(M45="Menurun",IF(AND(Q45&gt;'Spek Produk'!$I$23,Q45&lt;&gt;""),"Usia masuk lebih besar dari fitur produk",IF(AND(Q45&lt;'Spek Produk'!$G$23,Q45&lt;&gt;0,Q45&lt;&gt;""),"Usia masuk lebih rendah dari fitur produk",IF(N45&gt;'Spek Produk'!$F$20,"UP lebih besar dari fitur produk",IF(K45+L45/12&gt;'Spek Produk'!$I$22,"Masa asuransi lebih besar dari fitur produk",IF(AND(Q45+K45+L45/12&gt;'Spek Produk'!$H$24,Q45&lt;&gt;0,Q45&lt;&gt;""),"Maksimum masa asuransi untuk nasabah berusia "&amp;Q45&amp;" tahun adalah "&amp;MAX(0,'Spek Produk'!$H$24-Q45)&amp;" tahun",IF(AND(0&lt;K45+L45/12,K45+L45/12&lt;'Spek Produk'!$G$22),"Masa asuransi lebih kecil dari fitur produk"," ")))))),IF(AND(Q45&gt;'Spek Produk'!$I$35,Q45&lt;&gt;""),"Usia masuk lebih besar dari fitur produk",IF(AND(Q45&lt;'Spek Produk'!$G$35,Q45&lt;&gt;0,Q45&lt;&gt;""),"Usia masuk lebih rendah dari fitur produk",IF(N45&gt;'Spek Produk'!$F$32,"UP lebih besar dari fitur produk",IF(K45+L45/12&gt;'Spek Produk'!$I$34,"Masa asuransi lebih besar dari fitur produk",IF(AND(Q45+K45+L45/12&gt;'Spek Produk'!$H$36,Q45&lt;&gt;0,Q45&lt;&gt;""),"Maksimum masa asuransi untuk nasabah berusia "&amp;Q45&amp;" tahun adalah "&amp;MAX(0,'Spek Produk'!$H$36-Q45)&amp;" tahun",IF(AND(0&lt;K45+L45/12,K45+L45/12&lt;'Spek Produk'!$G$34),"Masa asuransi lebih Kecil dari fitur produk"," ")))))))</f>
        <v xml:space="preserve"> </v>
      </c>
      <c r="W45" s="77"/>
    </row>
    <row r="46" spans="1:23" x14ac:dyDescent="0.35">
      <c r="A46" s="43">
        <f t="shared" si="4"/>
        <v>41</v>
      </c>
      <c r="B46" s="34"/>
      <c r="C46" s="35"/>
      <c r="D46" s="34"/>
      <c r="E46" s="36"/>
      <c r="F46" s="33"/>
      <c r="G46" s="33"/>
      <c r="H46" s="37"/>
      <c r="I46" s="89"/>
      <c r="J46" s="89"/>
      <c r="K46" s="33"/>
      <c r="L46" s="33"/>
      <c r="M46" s="33"/>
      <c r="N46" s="38"/>
      <c r="P46" s="83">
        <v>0</v>
      </c>
      <c r="Q46" s="39">
        <f t="shared" si="1"/>
        <v>0</v>
      </c>
      <c r="R46" s="40" t="str">
        <f>IF(V46&lt;&gt;" ",V46,IFERROR(VLOOKUP(Q46,IF('Spek Produk'!$F$9="Syariah",Medic!$A$21:$L$27,Medic!$A$12:$L$18),MATCH(N46,IF('Spek Produk'!$F$9="Syariah",Medic!$B$21:$L$21,Medic!$B$12:$L$12),TRUE)+1),""))</f>
        <v/>
      </c>
      <c r="S46" s="92" t="str">
        <f t="shared" si="5"/>
        <v/>
      </c>
      <c r="T46" s="41" t="str">
        <f t="shared" si="2"/>
        <v/>
      </c>
      <c r="U46" s="92" t="str">
        <f t="shared" si="3"/>
        <v/>
      </c>
      <c r="V46" s="77" t="str">
        <f>IF(M46="Menurun",IF(AND(Q46&gt;'Spek Produk'!$I$23,Q46&lt;&gt;""),"Usia masuk lebih besar dari fitur produk",IF(AND(Q46&lt;'Spek Produk'!$G$23,Q46&lt;&gt;0,Q46&lt;&gt;""),"Usia masuk lebih rendah dari fitur produk",IF(N46&gt;'Spek Produk'!$F$20,"UP lebih besar dari fitur produk",IF(K46+L46/12&gt;'Spek Produk'!$I$22,"Masa asuransi lebih besar dari fitur produk",IF(AND(Q46+K46+L46/12&gt;'Spek Produk'!$H$24,Q46&lt;&gt;0,Q46&lt;&gt;""),"Maksimum masa asuransi untuk nasabah berusia "&amp;Q46&amp;" tahun adalah "&amp;MAX(0,'Spek Produk'!$H$24-Q46)&amp;" tahun",IF(AND(0&lt;K46+L46/12,K46+L46/12&lt;'Spek Produk'!$G$22),"Masa asuransi lebih kecil dari fitur produk"," ")))))),IF(AND(Q46&gt;'Spek Produk'!$I$35,Q46&lt;&gt;""),"Usia masuk lebih besar dari fitur produk",IF(AND(Q46&lt;'Spek Produk'!$G$35,Q46&lt;&gt;0,Q46&lt;&gt;""),"Usia masuk lebih rendah dari fitur produk",IF(N46&gt;'Spek Produk'!$F$32,"UP lebih besar dari fitur produk",IF(K46+L46/12&gt;'Spek Produk'!$I$34,"Masa asuransi lebih besar dari fitur produk",IF(AND(Q46+K46+L46/12&gt;'Spek Produk'!$H$36,Q46&lt;&gt;0,Q46&lt;&gt;""),"Maksimum masa asuransi untuk nasabah berusia "&amp;Q46&amp;" tahun adalah "&amp;MAX(0,'Spek Produk'!$H$36-Q46)&amp;" tahun",IF(AND(0&lt;K46+L46/12,K46+L46/12&lt;'Spek Produk'!$G$34),"Masa asuransi lebih Kecil dari fitur produk"," ")))))))</f>
        <v xml:space="preserve"> </v>
      </c>
      <c r="W46" s="77"/>
    </row>
    <row r="47" spans="1:23" x14ac:dyDescent="0.35">
      <c r="A47" s="43">
        <f t="shared" si="4"/>
        <v>42</v>
      </c>
      <c r="B47" s="34"/>
      <c r="C47" s="35"/>
      <c r="D47" s="34"/>
      <c r="E47" s="36"/>
      <c r="F47" s="33"/>
      <c r="G47" s="33"/>
      <c r="H47" s="37"/>
      <c r="I47" s="89"/>
      <c r="J47" s="89"/>
      <c r="K47" s="33"/>
      <c r="L47" s="33"/>
      <c r="M47" s="33"/>
      <c r="N47" s="38"/>
      <c r="P47" s="83">
        <v>0</v>
      </c>
      <c r="Q47" s="39">
        <f t="shared" si="1"/>
        <v>0</v>
      </c>
      <c r="R47" s="40" t="str">
        <f>IF(V47&lt;&gt;" ",V47,IFERROR(VLOOKUP(Q47,IF('Spek Produk'!$F$9="Syariah",Medic!$A$21:$L$27,Medic!$A$12:$L$18),MATCH(N47,IF('Spek Produk'!$F$9="Syariah",Medic!$B$21:$L$21,Medic!$B$12:$L$12),TRUE)+1),""))</f>
        <v/>
      </c>
      <c r="S47" s="92" t="str">
        <f t="shared" si="5"/>
        <v/>
      </c>
      <c r="T47" s="41" t="str">
        <f t="shared" si="2"/>
        <v/>
      </c>
      <c r="U47" s="92" t="str">
        <f t="shared" si="3"/>
        <v/>
      </c>
      <c r="V47" s="77" t="str">
        <f>IF(M47="Menurun",IF(AND(Q47&gt;'Spek Produk'!$I$23,Q47&lt;&gt;""),"Usia masuk lebih besar dari fitur produk",IF(AND(Q47&lt;'Spek Produk'!$G$23,Q47&lt;&gt;0,Q47&lt;&gt;""),"Usia masuk lebih rendah dari fitur produk",IF(N47&gt;'Spek Produk'!$F$20,"UP lebih besar dari fitur produk",IF(K47+L47/12&gt;'Spek Produk'!$I$22,"Masa asuransi lebih besar dari fitur produk",IF(AND(Q47+K47+L47/12&gt;'Spek Produk'!$H$24,Q47&lt;&gt;0,Q47&lt;&gt;""),"Maksimum masa asuransi untuk nasabah berusia "&amp;Q47&amp;" tahun adalah "&amp;MAX(0,'Spek Produk'!$H$24-Q47)&amp;" tahun",IF(AND(0&lt;K47+L47/12,K47+L47/12&lt;'Spek Produk'!$G$22),"Masa asuransi lebih kecil dari fitur produk"," ")))))),IF(AND(Q47&gt;'Spek Produk'!$I$35,Q47&lt;&gt;""),"Usia masuk lebih besar dari fitur produk",IF(AND(Q47&lt;'Spek Produk'!$G$35,Q47&lt;&gt;0,Q47&lt;&gt;""),"Usia masuk lebih rendah dari fitur produk",IF(N47&gt;'Spek Produk'!$F$32,"UP lebih besar dari fitur produk",IF(K47+L47/12&gt;'Spek Produk'!$I$34,"Masa asuransi lebih besar dari fitur produk",IF(AND(Q47+K47+L47/12&gt;'Spek Produk'!$H$36,Q47&lt;&gt;0,Q47&lt;&gt;""),"Maksimum masa asuransi untuk nasabah berusia "&amp;Q47&amp;" tahun adalah "&amp;MAX(0,'Spek Produk'!$H$36-Q47)&amp;" tahun",IF(AND(0&lt;K47+L47/12,K47+L47/12&lt;'Spek Produk'!$G$34),"Masa asuransi lebih Kecil dari fitur produk"," ")))))))</f>
        <v xml:space="preserve"> </v>
      </c>
      <c r="W47" s="77"/>
    </row>
    <row r="48" spans="1:23" x14ac:dyDescent="0.35">
      <c r="A48" s="43">
        <f t="shared" si="4"/>
        <v>43</v>
      </c>
      <c r="B48" s="34"/>
      <c r="C48" s="35"/>
      <c r="D48" s="34"/>
      <c r="E48" s="36"/>
      <c r="F48" s="33"/>
      <c r="G48" s="33"/>
      <c r="H48" s="37"/>
      <c r="I48" s="89"/>
      <c r="J48" s="89"/>
      <c r="K48" s="33"/>
      <c r="L48" s="33"/>
      <c r="M48" s="33"/>
      <c r="N48" s="38"/>
      <c r="P48" s="83">
        <v>0</v>
      </c>
      <c r="Q48" s="39">
        <f t="shared" si="1"/>
        <v>0</v>
      </c>
      <c r="R48" s="40" t="str">
        <f>IF(V48&lt;&gt;" ",V48,IFERROR(VLOOKUP(Q48,IF('Spek Produk'!$F$9="Syariah",Medic!$A$21:$L$27,Medic!$A$12:$L$18),MATCH(N48,IF('Spek Produk'!$F$9="Syariah",Medic!$B$21:$L$21,Medic!$B$12:$L$12),TRUE)+1),""))</f>
        <v/>
      </c>
      <c r="S48" s="92" t="str">
        <f t="shared" si="5"/>
        <v/>
      </c>
      <c r="T48" s="41" t="str">
        <f t="shared" si="2"/>
        <v/>
      </c>
      <c r="U48" s="92" t="str">
        <f t="shared" si="3"/>
        <v/>
      </c>
      <c r="V48" s="77" t="str">
        <f>IF(M48="Menurun",IF(AND(Q48&gt;'Spek Produk'!$I$23,Q48&lt;&gt;""),"Usia masuk lebih besar dari fitur produk",IF(AND(Q48&lt;'Spek Produk'!$G$23,Q48&lt;&gt;0,Q48&lt;&gt;""),"Usia masuk lebih rendah dari fitur produk",IF(N48&gt;'Spek Produk'!$F$20,"UP lebih besar dari fitur produk",IF(K48+L48/12&gt;'Spek Produk'!$I$22,"Masa asuransi lebih besar dari fitur produk",IF(AND(Q48+K48+L48/12&gt;'Spek Produk'!$H$24,Q48&lt;&gt;0,Q48&lt;&gt;""),"Maksimum masa asuransi untuk nasabah berusia "&amp;Q48&amp;" tahun adalah "&amp;MAX(0,'Spek Produk'!$H$24-Q48)&amp;" tahun",IF(AND(0&lt;K48+L48/12,K48+L48/12&lt;'Spek Produk'!$G$22),"Masa asuransi lebih kecil dari fitur produk"," ")))))),IF(AND(Q48&gt;'Spek Produk'!$I$35,Q48&lt;&gt;""),"Usia masuk lebih besar dari fitur produk",IF(AND(Q48&lt;'Spek Produk'!$G$35,Q48&lt;&gt;0,Q48&lt;&gt;""),"Usia masuk lebih rendah dari fitur produk",IF(N48&gt;'Spek Produk'!$F$32,"UP lebih besar dari fitur produk",IF(K48+L48/12&gt;'Spek Produk'!$I$34,"Masa asuransi lebih besar dari fitur produk",IF(AND(Q48+K48+L48/12&gt;'Spek Produk'!$H$36,Q48&lt;&gt;0,Q48&lt;&gt;""),"Maksimum masa asuransi untuk nasabah berusia "&amp;Q48&amp;" tahun adalah "&amp;MAX(0,'Spek Produk'!$H$36-Q48)&amp;" tahun",IF(AND(0&lt;K48+L48/12,K48+L48/12&lt;'Spek Produk'!$G$34),"Masa asuransi lebih Kecil dari fitur produk"," ")))))))</f>
        <v xml:space="preserve"> </v>
      </c>
      <c r="W48" s="77"/>
    </row>
    <row r="49" spans="1:23" x14ac:dyDescent="0.35">
      <c r="A49" s="43">
        <f t="shared" si="4"/>
        <v>44</v>
      </c>
      <c r="B49" s="34"/>
      <c r="C49" s="35"/>
      <c r="D49" s="34"/>
      <c r="E49" s="36"/>
      <c r="F49" s="33"/>
      <c r="G49" s="33"/>
      <c r="H49" s="37"/>
      <c r="I49" s="89"/>
      <c r="J49" s="89"/>
      <c r="K49" s="33"/>
      <c r="L49" s="33"/>
      <c r="M49" s="33"/>
      <c r="N49" s="38"/>
      <c r="P49" s="83">
        <v>0</v>
      </c>
      <c r="Q49" s="39">
        <f t="shared" si="1"/>
        <v>0</v>
      </c>
      <c r="R49" s="40" t="str">
        <f>IF(V49&lt;&gt;" ",V49,IFERROR(VLOOKUP(Q49,IF('Spek Produk'!$F$9="Syariah",Medic!$A$21:$L$27,Medic!$A$12:$L$18),MATCH(N49,IF('Spek Produk'!$F$9="Syariah",Medic!$B$21:$L$21,Medic!$B$12:$L$12),TRUE)+1),""))</f>
        <v/>
      </c>
      <c r="S49" s="92" t="str">
        <f t="shared" si="5"/>
        <v/>
      </c>
      <c r="T49" s="41" t="str">
        <f t="shared" si="2"/>
        <v/>
      </c>
      <c r="U49" s="92" t="str">
        <f t="shared" si="3"/>
        <v/>
      </c>
      <c r="V49" s="77" t="str">
        <f>IF(M49="Menurun",IF(AND(Q49&gt;'Spek Produk'!$I$23,Q49&lt;&gt;""),"Usia masuk lebih besar dari fitur produk",IF(AND(Q49&lt;'Spek Produk'!$G$23,Q49&lt;&gt;0,Q49&lt;&gt;""),"Usia masuk lebih rendah dari fitur produk",IF(N49&gt;'Spek Produk'!$F$20,"UP lebih besar dari fitur produk",IF(K49+L49/12&gt;'Spek Produk'!$I$22,"Masa asuransi lebih besar dari fitur produk",IF(AND(Q49+K49+L49/12&gt;'Spek Produk'!$H$24,Q49&lt;&gt;0,Q49&lt;&gt;""),"Maksimum masa asuransi untuk nasabah berusia "&amp;Q49&amp;" tahun adalah "&amp;MAX(0,'Spek Produk'!$H$24-Q49)&amp;" tahun",IF(AND(0&lt;K49+L49/12,K49+L49/12&lt;'Spek Produk'!$G$22),"Masa asuransi lebih kecil dari fitur produk"," ")))))),IF(AND(Q49&gt;'Spek Produk'!$I$35,Q49&lt;&gt;""),"Usia masuk lebih besar dari fitur produk",IF(AND(Q49&lt;'Spek Produk'!$G$35,Q49&lt;&gt;0,Q49&lt;&gt;""),"Usia masuk lebih rendah dari fitur produk",IF(N49&gt;'Spek Produk'!$F$32,"UP lebih besar dari fitur produk",IF(K49+L49/12&gt;'Spek Produk'!$I$34,"Masa asuransi lebih besar dari fitur produk",IF(AND(Q49+K49+L49/12&gt;'Spek Produk'!$H$36,Q49&lt;&gt;0,Q49&lt;&gt;""),"Maksimum masa asuransi untuk nasabah berusia "&amp;Q49&amp;" tahun adalah "&amp;MAX(0,'Spek Produk'!$H$36-Q49)&amp;" tahun",IF(AND(0&lt;K49+L49/12,K49+L49/12&lt;'Spek Produk'!$G$34),"Masa asuransi lebih Kecil dari fitur produk"," ")))))))</f>
        <v xml:space="preserve"> </v>
      </c>
      <c r="W49" s="77"/>
    </row>
    <row r="50" spans="1:23" x14ac:dyDescent="0.35">
      <c r="A50" s="43">
        <f t="shared" si="4"/>
        <v>45</v>
      </c>
      <c r="B50" s="34"/>
      <c r="C50" s="35"/>
      <c r="D50" s="34"/>
      <c r="E50" s="36"/>
      <c r="F50" s="33"/>
      <c r="G50" s="33"/>
      <c r="H50" s="37"/>
      <c r="I50" s="89"/>
      <c r="J50" s="89"/>
      <c r="K50" s="33"/>
      <c r="L50" s="33"/>
      <c r="M50" s="33"/>
      <c r="N50" s="38"/>
      <c r="P50" s="83">
        <v>0</v>
      </c>
      <c r="Q50" s="39">
        <f t="shared" si="1"/>
        <v>0</v>
      </c>
      <c r="R50" s="40" t="str">
        <f>IF(V50&lt;&gt;" ",V50,IFERROR(VLOOKUP(Q50,IF('Spek Produk'!$F$9="Syariah",Medic!$A$21:$L$27,Medic!$A$12:$L$18),MATCH(N50,IF('Spek Produk'!$F$9="Syariah",Medic!$B$21:$L$21,Medic!$B$12:$L$12),TRUE)+1),""))</f>
        <v/>
      </c>
      <c r="S50" s="92" t="str">
        <f t="shared" si="5"/>
        <v/>
      </c>
      <c r="T50" s="41" t="str">
        <f t="shared" si="2"/>
        <v/>
      </c>
      <c r="U50" s="92" t="str">
        <f t="shared" si="3"/>
        <v/>
      </c>
      <c r="V50" s="77" t="str">
        <f>IF(M50="Menurun",IF(AND(Q50&gt;'Spek Produk'!$I$23,Q50&lt;&gt;""),"Usia masuk lebih besar dari fitur produk",IF(AND(Q50&lt;'Spek Produk'!$G$23,Q50&lt;&gt;0,Q50&lt;&gt;""),"Usia masuk lebih rendah dari fitur produk",IF(N50&gt;'Spek Produk'!$F$20,"UP lebih besar dari fitur produk",IF(K50+L50/12&gt;'Spek Produk'!$I$22,"Masa asuransi lebih besar dari fitur produk",IF(AND(Q50+K50+L50/12&gt;'Spek Produk'!$H$24,Q50&lt;&gt;0,Q50&lt;&gt;""),"Maksimum masa asuransi untuk nasabah berusia "&amp;Q50&amp;" tahun adalah "&amp;MAX(0,'Spek Produk'!$H$24-Q50)&amp;" tahun",IF(AND(0&lt;K50+L50/12,K50+L50/12&lt;'Spek Produk'!$G$22),"Masa asuransi lebih kecil dari fitur produk"," ")))))),IF(AND(Q50&gt;'Spek Produk'!$I$35,Q50&lt;&gt;""),"Usia masuk lebih besar dari fitur produk",IF(AND(Q50&lt;'Spek Produk'!$G$35,Q50&lt;&gt;0,Q50&lt;&gt;""),"Usia masuk lebih rendah dari fitur produk",IF(N50&gt;'Spek Produk'!$F$32,"UP lebih besar dari fitur produk",IF(K50+L50/12&gt;'Spek Produk'!$I$34,"Masa asuransi lebih besar dari fitur produk",IF(AND(Q50+K50+L50/12&gt;'Spek Produk'!$H$36,Q50&lt;&gt;0,Q50&lt;&gt;""),"Maksimum masa asuransi untuk nasabah berusia "&amp;Q50&amp;" tahun adalah "&amp;MAX(0,'Spek Produk'!$H$36-Q50)&amp;" tahun",IF(AND(0&lt;K50+L50/12,K50+L50/12&lt;'Spek Produk'!$G$34),"Masa asuransi lebih Kecil dari fitur produk"," ")))))))</f>
        <v xml:space="preserve"> </v>
      </c>
      <c r="W50" s="77"/>
    </row>
    <row r="51" spans="1:23" x14ac:dyDescent="0.35">
      <c r="A51" s="43">
        <f t="shared" si="4"/>
        <v>46</v>
      </c>
      <c r="B51" s="34"/>
      <c r="C51" s="35"/>
      <c r="D51" s="34"/>
      <c r="E51" s="36"/>
      <c r="F51" s="33"/>
      <c r="G51" s="33"/>
      <c r="H51" s="37"/>
      <c r="I51" s="89"/>
      <c r="J51" s="89"/>
      <c r="K51" s="33"/>
      <c r="L51" s="33"/>
      <c r="M51" s="33"/>
      <c r="N51" s="38"/>
      <c r="P51" s="83">
        <v>0</v>
      </c>
      <c r="Q51" s="39">
        <f t="shared" si="1"/>
        <v>0</v>
      </c>
      <c r="R51" s="40" t="str">
        <f>IF(V51&lt;&gt;" ",V51,IFERROR(VLOOKUP(Q51,IF('Spek Produk'!$F$9="Syariah",Medic!$A$21:$L$27,Medic!$A$12:$L$18),MATCH(N51,IF('Spek Produk'!$F$9="Syariah",Medic!$B$21:$L$21,Medic!$B$12:$L$12),TRUE)+1),""))</f>
        <v/>
      </c>
      <c r="S51" s="92" t="str">
        <f t="shared" si="5"/>
        <v/>
      </c>
      <c r="T51" s="41" t="str">
        <f t="shared" si="2"/>
        <v/>
      </c>
      <c r="U51" s="92" t="str">
        <f t="shared" si="3"/>
        <v/>
      </c>
      <c r="V51" s="77" t="str">
        <f>IF(M51="Menurun",IF(AND(Q51&gt;'Spek Produk'!$I$23,Q51&lt;&gt;""),"Usia masuk lebih besar dari fitur produk",IF(AND(Q51&lt;'Spek Produk'!$G$23,Q51&lt;&gt;0,Q51&lt;&gt;""),"Usia masuk lebih rendah dari fitur produk",IF(N51&gt;'Spek Produk'!$F$20,"UP lebih besar dari fitur produk",IF(K51+L51/12&gt;'Spek Produk'!$I$22,"Masa asuransi lebih besar dari fitur produk",IF(AND(Q51+K51+L51/12&gt;'Spek Produk'!$H$24,Q51&lt;&gt;0,Q51&lt;&gt;""),"Maksimum masa asuransi untuk nasabah berusia "&amp;Q51&amp;" tahun adalah "&amp;MAX(0,'Spek Produk'!$H$24-Q51)&amp;" tahun",IF(AND(0&lt;K51+L51/12,K51+L51/12&lt;'Spek Produk'!$G$22),"Masa asuransi lebih kecil dari fitur produk"," ")))))),IF(AND(Q51&gt;'Spek Produk'!$I$35,Q51&lt;&gt;""),"Usia masuk lebih besar dari fitur produk",IF(AND(Q51&lt;'Spek Produk'!$G$35,Q51&lt;&gt;0,Q51&lt;&gt;""),"Usia masuk lebih rendah dari fitur produk",IF(N51&gt;'Spek Produk'!$F$32,"UP lebih besar dari fitur produk",IF(K51+L51/12&gt;'Spek Produk'!$I$34,"Masa asuransi lebih besar dari fitur produk",IF(AND(Q51+K51+L51/12&gt;'Spek Produk'!$H$36,Q51&lt;&gt;0,Q51&lt;&gt;""),"Maksimum masa asuransi untuk nasabah berusia "&amp;Q51&amp;" tahun adalah "&amp;MAX(0,'Spek Produk'!$H$36-Q51)&amp;" tahun",IF(AND(0&lt;K51+L51/12,K51+L51/12&lt;'Spek Produk'!$G$34),"Masa asuransi lebih Kecil dari fitur produk"," ")))))))</f>
        <v xml:space="preserve"> </v>
      </c>
      <c r="W51" s="77"/>
    </row>
    <row r="52" spans="1:23" x14ac:dyDescent="0.35">
      <c r="A52" s="43">
        <f t="shared" si="4"/>
        <v>47</v>
      </c>
      <c r="B52" s="34"/>
      <c r="C52" s="35"/>
      <c r="D52" s="34"/>
      <c r="E52" s="36"/>
      <c r="F52" s="33"/>
      <c r="G52" s="33"/>
      <c r="H52" s="37"/>
      <c r="I52" s="89"/>
      <c r="J52" s="89"/>
      <c r="K52" s="33"/>
      <c r="L52" s="33"/>
      <c r="M52" s="33"/>
      <c r="N52" s="38"/>
      <c r="P52" s="83">
        <v>0</v>
      </c>
      <c r="Q52" s="39">
        <f t="shared" si="1"/>
        <v>0</v>
      </c>
      <c r="R52" s="40" t="str">
        <f>IF(V52&lt;&gt;" ",V52,IFERROR(VLOOKUP(Q52,IF('Spek Produk'!$F$9="Syariah",Medic!$A$21:$L$27,Medic!$A$12:$L$18),MATCH(N52,IF('Spek Produk'!$F$9="Syariah",Medic!$B$21:$L$21,Medic!$B$12:$L$12),TRUE)+1),""))</f>
        <v/>
      </c>
      <c r="S52" s="92" t="str">
        <f t="shared" si="5"/>
        <v/>
      </c>
      <c r="T52" s="41" t="str">
        <f t="shared" si="2"/>
        <v/>
      </c>
      <c r="U52" s="92" t="str">
        <f t="shared" si="3"/>
        <v/>
      </c>
      <c r="V52" s="77" t="str">
        <f>IF(M52="Menurun",IF(AND(Q52&gt;'Spek Produk'!$I$23,Q52&lt;&gt;""),"Usia masuk lebih besar dari fitur produk",IF(AND(Q52&lt;'Spek Produk'!$G$23,Q52&lt;&gt;0,Q52&lt;&gt;""),"Usia masuk lebih rendah dari fitur produk",IF(N52&gt;'Spek Produk'!$F$20,"UP lebih besar dari fitur produk",IF(K52+L52/12&gt;'Spek Produk'!$I$22,"Masa asuransi lebih besar dari fitur produk",IF(AND(Q52+K52+L52/12&gt;'Spek Produk'!$H$24,Q52&lt;&gt;0,Q52&lt;&gt;""),"Maksimum masa asuransi untuk nasabah berusia "&amp;Q52&amp;" tahun adalah "&amp;MAX(0,'Spek Produk'!$H$24-Q52)&amp;" tahun",IF(AND(0&lt;K52+L52/12,K52+L52/12&lt;'Spek Produk'!$G$22),"Masa asuransi lebih kecil dari fitur produk"," ")))))),IF(AND(Q52&gt;'Spek Produk'!$I$35,Q52&lt;&gt;""),"Usia masuk lebih besar dari fitur produk",IF(AND(Q52&lt;'Spek Produk'!$G$35,Q52&lt;&gt;0,Q52&lt;&gt;""),"Usia masuk lebih rendah dari fitur produk",IF(N52&gt;'Spek Produk'!$F$32,"UP lebih besar dari fitur produk",IF(K52+L52/12&gt;'Spek Produk'!$I$34,"Masa asuransi lebih besar dari fitur produk",IF(AND(Q52+K52+L52/12&gt;'Spek Produk'!$H$36,Q52&lt;&gt;0,Q52&lt;&gt;""),"Maksimum masa asuransi untuk nasabah berusia "&amp;Q52&amp;" tahun adalah "&amp;MAX(0,'Spek Produk'!$H$36-Q52)&amp;" tahun",IF(AND(0&lt;K52+L52/12,K52+L52/12&lt;'Spek Produk'!$G$34),"Masa asuransi lebih Kecil dari fitur produk"," ")))))))</f>
        <v xml:space="preserve"> </v>
      </c>
      <c r="W52" s="77"/>
    </row>
    <row r="53" spans="1:23" x14ac:dyDescent="0.35">
      <c r="A53" s="43">
        <f t="shared" si="4"/>
        <v>48</v>
      </c>
      <c r="B53" s="34"/>
      <c r="C53" s="35"/>
      <c r="D53" s="34"/>
      <c r="E53" s="36"/>
      <c r="F53" s="33"/>
      <c r="G53" s="33"/>
      <c r="H53" s="37"/>
      <c r="I53" s="89"/>
      <c r="J53" s="89"/>
      <c r="K53" s="33"/>
      <c r="L53" s="33"/>
      <c r="M53" s="33"/>
      <c r="N53" s="38"/>
      <c r="P53" s="83">
        <v>0</v>
      </c>
      <c r="Q53" s="39">
        <f t="shared" si="1"/>
        <v>0</v>
      </c>
      <c r="R53" s="40" t="str">
        <f>IF(V53&lt;&gt;" ",V53,IFERROR(VLOOKUP(Q53,IF('Spek Produk'!$F$9="Syariah",Medic!$A$21:$L$27,Medic!$A$12:$L$18),MATCH(N53,IF('Spek Produk'!$F$9="Syariah",Medic!$B$21:$L$21,Medic!$B$12:$L$12),TRUE)+1),""))</f>
        <v/>
      </c>
      <c r="S53" s="92" t="str">
        <f t="shared" si="5"/>
        <v/>
      </c>
      <c r="T53" s="41" t="str">
        <f t="shared" si="2"/>
        <v/>
      </c>
      <c r="U53" s="92" t="str">
        <f t="shared" si="3"/>
        <v/>
      </c>
      <c r="V53" s="77" t="str">
        <f>IF(M53="Menurun",IF(AND(Q53&gt;'Spek Produk'!$I$23,Q53&lt;&gt;""),"Usia masuk lebih besar dari fitur produk",IF(AND(Q53&lt;'Spek Produk'!$G$23,Q53&lt;&gt;0,Q53&lt;&gt;""),"Usia masuk lebih rendah dari fitur produk",IF(N53&gt;'Spek Produk'!$F$20,"UP lebih besar dari fitur produk",IF(K53+L53/12&gt;'Spek Produk'!$I$22,"Masa asuransi lebih besar dari fitur produk",IF(AND(Q53+K53+L53/12&gt;'Spek Produk'!$H$24,Q53&lt;&gt;0,Q53&lt;&gt;""),"Maksimum masa asuransi untuk nasabah berusia "&amp;Q53&amp;" tahun adalah "&amp;MAX(0,'Spek Produk'!$H$24-Q53)&amp;" tahun",IF(AND(0&lt;K53+L53/12,K53+L53/12&lt;'Spek Produk'!$G$22),"Masa asuransi lebih kecil dari fitur produk"," ")))))),IF(AND(Q53&gt;'Spek Produk'!$I$35,Q53&lt;&gt;""),"Usia masuk lebih besar dari fitur produk",IF(AND(Q53&lt;'Spek Produk'!$G$35,Q53&lt;&gt;0,Q53&lt;&gt;""),"Usia masuk lebih rendah dari fitur produk",IF(N53&gt;'Spek Produk'!$F$32,"UP lebih besar dari fitur produk",IF(K53+L53/12&gt;'Spek Produk'!$I$34,"Masa asuransi lebih besar dari fitur produk",IF(AND(Q53+K53+L53/12&gt;'Spek Produk'!$H$36,Q53&lt;&gt;0,Q53&lt;&gt;""),"Maksimum masa asuransi untuk nasabah berusia "&amp;Q53&amp;" tahun adalah "&amp;MAX(0,'Spek Produk'!$H$36-Q53)&amp;" tahun",IF(AND(0&lt;K53+L53/12,K53+L53/12&lt;'Spek Produk'!$G$34),"Masa asuransi lebih Kecil dari fitur produk"," ")))))))</f>
        <v xml:space="preserve"> </v>
      </c>
      <c r="W53" s="77"/>
    </row>
    <row r="54" spans="1:23" x14ac:dyDescent="0.35">
      <c r="A54" s="43">
        <f t="shared" si="4"/>
        <v>49</v>
      </c>
      <c r="B54" s="34"/>
      <c r="C54" s="35"/>
      <c r="D54" s="34"/>
      <c r="E54" s="36"/>
      <c r="F54" s="33"/>
      <c r="G54" s="33"/>
      <c r="H54" s="37"/>
      <c r="I54" s="89"/>
      <c r="J54" s="89"/>
      <c r="K54" s="33"/>
      <c r="L54" s="33"/>
      <c r="M54" s="33"/>
      <c r="N54" s="38"/>
      <c r="P54" s="83">
        <v>0</v>
      </c>
      <c r="Q54" s="39">
        <f t="shared" si="1"/>
        <v>0</v>
      </c>
      <c r="R54" s="40" t="str">
        <f>IF(V54&lt;&gt;" ",V54,IFERROR(VLOOKUP(Q54,IF('Spek Produk'!$F$9="Syariah",Medic!$A$21:$L$27,Medic!$A$12:$L$18),MATCH(N54,IF('Spek Produk'!$F$9="Syariah",Medic!$B$21:$L$21,Medic!$B$12:$L$12),TRUE)+1),""))</f>
        <v/>
      </c>
      <c r="S54" s="92" t="str">
        <f t="shared" si="5"/>
        <v/>
      </c>
      <c r="T54" s="41" t="str">
        <f t="shared" si="2"/>
        <v/>
      </c>
      <c r="U54" s="92" t="str">
        <f t="shared" si="3"/>
        <v/>
      </c>
      <c r="V54" s="77" t="str">
        <f>IF(M54="Menurun",IF(AND(Q54&gt;'Spek Produk'!$I$23,Q54&lt;&gt;""),"Usia masuk lebih besar dari fitur produk",IF(AND(Q54&lt;'Spek Produk'!$G$23,Q54&lt;&gt;0,Q54&lt;&gt;""),"Usia masuk lebih rendah dari fitur produk",IF(N54&gt;'Spek Produk'!$F$20,"UP lebih besar dari fitur produk",IF(K54+L54/12&gt;'Spek Produk'!$I$22,"Masa asuransi lebih besar dari fitur produk",IF(AND(Q54+K54+L54/12&gt;'Spek Produk'!$H$24,Q54&lt;&gt;0,Q54&lt;&gt;""),"Maksimum masa asuransi untuk nasabah berusia "&amp;Q54&amp;" tahun adalah "&amp;MAX(0,'Spek Produk'!$H$24-Q54)&amp;" tahun",IF(AND(0&lt;K54+L54/12,K54+L54/12&lt;'Spek Produk'!$G$22),"Masa asuransi lebih kecil dari fitur produk"," ")))))),IF(AND(Q54&gt;'Spek Produk'!$I$35,Q54&lt;&gt;""),"Usia masuk lebih besar dari fitur produk",IF(AND(Q54&lt;'Spek Produk'!$G$35,Q54&lt;&gt;0,Q54&lt;&gt;""),"Usia masuk lebih rendah dari fitur produk",IF(N54&gt;'Spek Produk'!$F$32,"UP lebih besar dari fitur produk",IF(K54+L54/12&gt;'Spek Produk'!$I$34,"Masa asuransi lebih besar dari fitur produk",IF(AND(Q54+K54+L54/12&gt;'Spek Produk'!$H$36,Q54&lt;&gt;0,Q54&lt;&gt;""),"Maksimum masa asuransi untuk nasabah berusia "&amp;Q54&amp;" tahun adalah "&amp;MAX(0,'Spek Produk'!$H$36-Q54)&amp;" tahun",IF(AND(0&lt;K54+L54/12,K54+L54/12&lt;'Spek Produk'!$G$34),"Masa asuransi lebih Kecil dari fitur produk"," ")))))))</f>
        <v xml:space="preserve"> </v>
      </c>
      <c r="W54" s="77"/>
    </row>
    <row r="55" spans="1:23" x14ac:dyDescent="0.35">
      <c r="A55" s="43">
        <f t="shared" si="4"/>
        <v>50</v>
      </c>
      <c r="B55" s="34"/>
      <c r="C55" s="35"/>
      <c r="D55" s="34"/>
      <c r="E55" s="36"/>
      <c r="F55" s="33"/>
      <c r="G55" s="33"/>
      <c r="H55" s="37"/>
      <c r="I55" s="89"/>
      <c r="J55" s="89"/>
      <c r="K55" s="33"/>
      <c r="L55" s="33"/>
      <c r="M55" s="33"/>
      <c r="N55" s="38"/>
      <c r="P55" s="83">
        <v>0</v>
      </c>
      <c r="Q55" s="39">
        <f t="shared" si="1"/>
        <v>0</v>
      </c>
      <c r="R55" s="40" t="str">
        <f>IF(V55&lt;&gt;" ",V55,IFERROR(VLOOKUP(Q55,IF('Spek Produk'!$F$9="Syariah",Medic!$A$21:$L$27,Medic!$A$12:$L$18),MATCH(N55,IF('Spek Produk'!$F$9="Syariah",Medic!$B$21:$L$21,Medic!$B$12:$L$12),TRUE)+1),""))</f>
        <v/>
      </c>
      <c r="S55" s="92" t="str">
        <f t="shared" si="5"/>
        <v/>
      </c>
      <c r="T55" s="41" t="str">
        <f t="shared" si="2"/>
        <v/>
      </c>
      <c r="U55" s="92" t="str">
        <f t="shared" si="3"/>
        <v/>
      </c>
      <c r="V55" s="77" t="str">
        <f>IF(M55="Menurun",IF(AND(Q55&gt;'Spek Produk'!$I$23,Q55&lt;&gt;""),"Usia masuk lebih besar dari fitur produk",IF(AND(Q55&lt;'Spek Produk'!$G$23,Q55&lt;&gt;0,Q55&lt;&gt;""),"Usia masuk lebih rendah dari fitur produk",IF(N55&gt;'Spek Produk'!$F$20,"UP lebih besar dari fitur produk",IF(K55+L55/12&gt;'Spek Produk'!$I$22,"Masa asuransi lebih besar dari fitur produk",IF(AND(Q55+K55+L55/12&gt;'Spek Produk'!$H$24,Q55&lt;&gt;0,Q55&lt;&gt;""),"Maksimum masa asuransi untuk nasabah berusia "&amp;Q55&amp;" tahun adalah "&amp;MAX(0,'Spek Produk'!$H$24-Q55)&amp;" tahun",IF(AND(0&lt;K55+L55/12,K55+L55/12&lt;'Spek Produk'!$G$22),"Masa asuransi lebih kecil dari fitur produk"," ")))))),IF(AND(Q55&gt;'Spek Produk'!$I$35,Q55&lt;&gt;""),"Usia masuk lebih besar dari fitur produk",IF(AND(Q55&lt;'Spek Produk'!$G$35,Q55&lt;&gt;0,Q55&lt;&gt;""),"Usia masuk lebih rendah dari fitur produk",IF(N55&gt;'Spek Produk'!$F$32,"UP lebih besar dari fitur produk",IF(K55+L55/12&gt;'Spek Produk'!$I$34,"Masa asuransi lebih besar dari fitur produk",IF(AND(Q55+K55+L55/12&gt;'Spek Produk'!$H$36,Q55&lt;&gt;0,Q55&lt;&gt;""),"Maksimum masa asuransi untuk nasabah berusia "&amp;Q55&amp;" tahun adalah "&amp;MAX(0,'Spek Produk'!$H$36-Q55)&amp;" tahun",IF(AND(0&lt;K55+L55/12,K55+L55/12&lt;'Spek Produk'!$G$34),"Masa asuransi lebih Kecil dari fitur produk"," ")))))))</f>
        <v xml:space="preserve"> </v>
      </c>
      <c r="W55" s="77"/>
    </row>
    <row r="56" spans="1:23" x14ac:dyDescent="0.35">
      <c r="A56" s="43"/>
      <c r="B56" s="81"/>
      <c r="C56" s="82"/>
      <c r="D56" s="81"/>
      <c r="E56" s="84"/>
      <c r="F56" s="43"/>
      <c r="G56" s="43"/>
      <c r="H56" s="85"/>
      <c r="I56" s="42" t="s">
        <v>78</v>
      </c>
      <c r="J56" s="43"/>
      <c r="K56" s="43"/>
      <c r="L56" s="43"/>
      <c r="M56" s="86" t="s">
        <v>79</v>
      </c>
      <c r="N56" s="44">
        <f>SUM(N6:N55)</f>
        <v>335000000</v>
      </c>
      <c r="P56" s="45"/>
      <c r="Q56" s="45"/>
      <c r="R56" s="45"/>
      <c r="S56" s="46">
        <f>SUM(S6:S55)</f>
        <v>5212450</v>
      </c>
      <c r="T56" s="46">
        <f>SUM(T6:T55)</f>
        <v>0</v>
      </c>
      <c r="U56" s="46">
        <f>SUM(U6:U55)</f>
        <v>5212450</v>
      </c>
    </row>
    <row r="57" spans="1:23" ht="18" customHeight="1" x14ac:dyDescent="0.35">
      <c r="A57" s="87" t="s">
        <v>80</v>
      </c>
    </row>
  </sheetData>
  <sheetProtection algorithmName="SHA-512" hashValue="JmlPGZp9XM7IpbluPklorjM8RVn1W03vmtE85pDe5alm6wiuFRELD5gx+7KHPEClPgEviBfECBoNiq4CVsYSRg==" saltValue="hxMyc7ZkV4YPmtkE4FNV0g==" spinCount="100000" sheet="1" objects="1" scenarios="1"/>
  <protectedRanges>
    <protectedRange algorithmName="SHA-512" hashValue="EVL9VXIMEALf8nAKdXPAaeGY1O8R1Z9mIB3ZWgmi8pz55dgBUM3aTbj0lO9KpoE70SNJ1xtI3UjChsIhMvSPSg==" saltValue="klM67NxR8gvgHh1ObG2ElA==" spinCount="100000" sqref="R6:U55" name="Range1"/>
  </protectedRanges>
  <mergeCells count="19">
    <mergeCell ref="U4:U5"/>
    <mergeCell ref="N4:N5"/>
    <mergeCell ref="P4:P5"/>
    <mergeCell ref="Q4:Q5"/>
    <mergeCell ref="R4:R5"/>
    <mergeCell ref="S4:S5"/>
    <mergeCell ref="T4:T5"/>
    <mergeCell ref="M4:M5"/>
    <mergeCell ref="A4:A5"/>
    <mergeCell ref="B4:B5"/>
    <mergeCell ref="C4:C5"/>
    <mergeCell ref="D4:D5"/>
    <mergeCell ref="E4:E5"/>
    <mergeCell ref="F4:F5"/>
    <mergeCell ref="G4:G5"/>
    <mergeCell ref="H4:H5"/>
    <mergeCell ref="I4:I5"/>
    <mergeCell ref="J4:J5"/>
    <mergeCell ref="K4:L4"/>
  </mergeCells>
  <hyperlinks>
    <hyperlink ref="H6" r:id="rId1" xr:uid="{BD508293-54F3-4EC5-8503-24A637FBC342}"/>
    <hyperlink ref="H7" r:id="rId2" xr:uid="{2E52ADCC-5D97-4A74-9886-D8EEE8AAFB65}"/>
    <hyperlink ref="H8" r:id="rId3" xr:uid="{A0513A49-2F0D-4DB2-8D50-05E2DC48AAA0}"/>
    <hyperlink ref="H9" r:id="rId4" xr:uid="{06FC78F5-6D8E-4FC5-AD3C-FA615D22F97A}"/>
    <hyperlink ref="H10" r:id="rId5" xr:uid="{7E3B8773-39DA-4CFA-B721-0CE9805DAA42}"/>
  </hyperlinks>
  <pageMargins left="0.7" right="0.7" top="0.75" bottom="0.75" header="0.3" footer="0.3"/>
  <pageSetup paperSize="9" orientation="portrait" verticalDpi="0" r:id="rId6"/>
  <ignoredErrors>
    <ignoredError sqref="E6:E1048576" numberStoredAsText="1"/>
  </ignoredErrors>
  <extLst>
    <ext xmlns:x14="http://schemas.microsoft.com/office/spreadsheetml/2009/9/main" uri="{CCE6A557-97BC-4b89-ADB6-D9C93CAAB3DF}">
      <x14:dataValidations xmlns:xm="http://schemas.microsoft.com/office/excel/2006/main" count="5">
        <x14:dataValidation type="whole" allowBlank="1" showInputMessage="1" showErrorMessage="1" errorTitle="Masa Asuransi" error="Masa Asuransi yang dipilih tidak sesuai dengan spesifikasi produk Asuransi!" xr:uid="{DE324BAA-88CF-47DC-B53D-6119EFCB4363}">
          <x14:formula1>
            <xm:f>IF(M6="Tetap",'Spek Produk'!$G$34,'Spek Produk'!$G$22)</xm:f>
          </x14:formula1>
          <x14:formula2>
            <xm:f>IF(M6="Tetap",'Spek Produk'!$I$34,'Spek Produk'!$I$22)</xm:f>
          </x14:formula2>
          <xm:sqref>K6:K55</xm:sqref>
        </x14:dataValidation>
        <x14:dataValidation type="custom" allowBlank="1" showInputMessage="1" showErrorMessage="1" errorTitle="Usia Masuk Peserta" error="Usia masuk peserta tidak sesuai dengan fitur produk asuransi!" xr:uid="{3AF0F4FE-4FE9-4E0D-9081-6D1D8D624D11}">
          <x14:formula1>
            <xm:f>AND(Q6&lt;=IF(M6="Menurun",'Spek Produk'!$I$23,'Spek Produk'!$I$35),Q6&gt;=IF(M6="Menurun",'Spek Produk'!$G$23,'Spek Produk'!$G$35))</xm:f>
          </x14:formula1>
          <xm:sqref>I6:I55</xm:sqref>
        </x14:dataValidation>
        <x14:dataValidation type="list" allowBlank="1" showInputMessage="1" showErrorMessage="1" errorTitle="Plan" error="Plan Asuransi tidak sesuai dengan fitur produk asuransi!" xr:uid="{84035B07-C71D-4C7C-96CC-15A859178F45}">
          <x14:formula1>
            <xm:f>IF(OR('Spek Produk'!$AT$39="",'Spek Produk'!$AT$40=""),'Spek Produk'!$AU$39,'Spek Produk'!$AT$39:$AT$40)</xm:f>
          </x14:formula1>
          <xm:sqref>M6:M55</xm:sqref>
        </x14:dataValidation>
        <x14:dataValidation type="whole" allowBlank="1" showInputMessage="1" showErrorMessage="1" errorTitle="Uang Pertanggungan" error="Uang Pertanggungan tidak sesuai dengan fitur produk asuransi!" xr:uid="{2D441E6D-7D55-4F7F-85AE-CC1179C1560C}">
          <x14:formula1>
            <xm:f>0</xm:f>
          </x14:formula1>
          <x14:formula2>
            <xm:f>IF(M6="Menurun",'Spek Produk'!$F$20,'Spek Produk'!$F$32)</xm:f>
          </x14:formula2>
          <xm:sqref>N6:N55</xm:sqref>
        </x14:dataValidation>
        <x14:dataValidation type="decimal" allowBlank="1" showInputMessage="1" showErrorMessage="1" error="Masa Asuransi yang dipilih tidak sesuai dengan spesifikasi produk Asuransi!_x000a_" xr:uid="{FC1043C0-7474-4AB3-9378-393764C4CD87}">
          <x14:formula1>
            <xm:f>0</xm:f>
          </x14:formula1>
          <x14:formula2>
            <xm:f>IF(IF(M6="Menurun",K6=MAX('Spek Produk'!$AR$42:$XFD$42),K6=MAX('Spek Produk'!$AR$43:$XFD$43)),0,11)</xm:f>
          </x14:formula2>
          <xm:sqref>L6:L55</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6</vt:i4>
      </vt:variant>
    </vt:vector>
  </HeadingPairs>
  <TitlesOfParts>
    <vt:vector size="8" baseType="lpstr">
      <vt:lpstr>Simulasi Premi 1 (Personal)</vt:lpstr>
      <vt:lpstr>Simulasi Premi 2 (Group)</vt:lpstr>
      <vt:lpstr>Email_Table</vt:lpstr>
      <vt:lpstr>Faktor_Multiplier</vt:lpstr>
      <vt:lpstr>Premium_Table</vt:lpstr>
      <vt:lpstr>Premium_Table_Dec</vt:lpstr>
      <vt:lpstr>Premium_Table_Flat</vt:lpstr>
      <vt:lpstr>'Simulasi Premi 1 (Personal)'!Print_Area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Joshua Aditia Nugroho</dc:creator>
  <cp:lastModifiedBy>Microsoft365 Asj51</cp:lastModifiedBy>
  <cp:lastPrinted>2019-12-16T14:56:38Z</cp:lastPrinted>
  <dcterms:created xsi:type="dcterms:W3CDTF">2019-12-11T07:45:57Z</dcterms:created>
  <dcterms:modified xsi:type="dcterms:W3CDTF">2026-10-12T09:54:08Z</dcterms:modified>
</cp:coreProperties>
</file>